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drawings/drawing1.xml" ContentType="application/vnd.openxmlformats-officedocument.drawing+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tup" sheetId="1" state="visible" r:id="rId1"/>
    <sheet xmlns:r="http://schemas.openxmlformats.org/officeDocument/2006/relationships" name="Recursos" sheetId="2" state="visible" r:id="rId2"/>
    <sheet xmlns:r="http://schemas.openxmlformats.org/officeDocument/2006/relationships" name="Plan_Horas" sheetId="3" state="visible" r:id="rId3"/>
    <sheet xmlns:r="http://schemas.openxmlformats.org/officeDocument/2006/relationships" name="Gastos_Actuales" sheetId="4" state="visible" r:id="rId4"/>
    <sheet xmlns:r="http://schemas.openxmlformats.org/officeDocument/2006/relationships" name="Resumen" sheetId="5" state="visible" r:id="rId5"/>
    <sheet xmlns:r="http://schemas.openxmlformats.org/officeDocument/2006/relationships" name="Dashboard" sheetId="6" state="visible" r:id="rId6"/>
    <sheet xmlns:r="http://schemas.openxmlformats.org/officeDocument/2006/relationships" name="Macro_VBA (opcional)" sheetId="7" state="visible" r:id="rId7"/>
    <sheet xmlns:r="http://schemas.openxmlformats.org/officeDocument/2006/relationships" name="Dashboard Ejecutivo" sheetId="8" state="visible" r:id="rId8"/>
    <sheet xmlns:r="http://schemas.openxmlformats.org/officeDocument/2006/relationships" name="Detalle por Recurso" sheetId="9" state="visible" r:id="rId9"/>
    <sheet xmlns:r="http://schemas.openxmlformats.org/officeDocument/2006/relationships" name="Gastos por Categoría" sheetId="10" state="visible" r:id="rId10"/>
  </sheets>
  <definedNames/>
  <calcPr calcId="124519" fullCalcOnLoad="1"/>
</workbook>
</file>

<file path=xl/styles.xml><?xml version="1.0" encoding="utf-8"?>
<styleSheet xmlns="http://schemas.openxmlformats.org/spreadsheetml/2006/main">
  <numFmts count="1">
    <numFmt numFmtId="164" formatCode="$#,##0"/>
  </numFmts>
  <fonts count="11">
    <font>
      <name val="Calibri"/>
      <family val="2"/>
      <color theme="1"/>
      <sz val="11"/>
      <scheme val="minor"/>
    </font>
    <font>
      <name val="Calibri"/>
      <b val="1"/>
      <color rgb="00FFFFFF"/>
      <sz val="18"/>
    </font>
    <font>
      <name val="Calibri"/>
      <b val="1"/>
      <color rgb="000F172A"/>
      <sz val="14"/>
    </font>
    <font>
      <name val="Calibri"/>
      <b val="1"/>
      <color rgb="000F172A"/>
      <sz val="11"/>
    </font>
    <font>
      <name val="Calibri"/>
      <color rgb="000000FF"/>
      <sz val="11"/>
    </font>
    <font>
      <name val="Calibri"/>
      <color rgb="00000000"/>
      <sz val="11"/>
    </font>
    <font>
      <color rgb="000F172A"/>
      <sz val="11"/>
    </font>
    <font>
      <b val="1"/>
      <color rgb="000F172A"/>
      <sz val="18"/>
    </font>
    <font>
      <b val="1"/>
      <color rgb="000F172A"/>
      <sz val="16"/>
    </font>
    <font>
      <name val="Consolas"/>
      <color rgb="000F172A"/>
      <sz val="10"/>
    </font>
    <font>
      <b val="1"/>
    </font>
  </fonts>
  <fills count="6">
    <fill>
      <patternFill/>
    </fill>
    <fill>
      <patternFill patternType="gray125"/>
    </fill>
    <fill>
      <patternFill patternType="solid">
        <fgColor rgb="000F172A"/>
      </patternFill>
    </fill>
    <fill>
      <patternFill patternType="solid">
        <fgColor rgb="00DBEAFE"/>
      </patternFill>
    </fill>
    <fill>
      <patternFill patternType="solid">
        <fgColor rgb="00E2E8F0"/>
      </patternFill>
    </fill>
    <fill>
      <patternFill patternType="solid">
        <fgColor rgb="00F8FAFC"/>
      </patternFill>
    </fill>
  </fills>
  <borders count="11">
    <border>
      <left/>
      <right/>
      <top/>
      <bottom/>
      <diagonal/>
    </border>
    <border>
      <left style="thin">
        <color rgb="00D9D9D9"/>
      </left>
      <right style="thin">
        <color rgb="00D9D9D9"/>
      </right>
      <top style="thin">
        <color rgb="00D9D9D9"/>
      </top>
      <bottom style="thin">
        <color rgb="00D9D9D9"/>
      </bottom>
    </border>
    <border>
      <left/>
      <right/>
      <top style="thin">
        <color rgb="00D9D9D9"/>
      </top>
      <bottom/>
      <diagonal/>
    </border>
    <border>
      <left/>
      <right style="thin">
        <color rgb="00D9D9D9"/>
      </right>
      <top style="thin">
        <color rgb="00D9D9D9"/>
      </top>
      <bottom/>
      <diagonal/>
    </border>
    <border>
      <left/>
      <right/>
      <top style="thin">
        <color rgb="00D9D9D9"/>
      </top>
      <bottom style="thin">
        <color rgb="00D9D9D9"/>
      </bottom>
      <diagonal/>
    </border>
    <border>
      <left/>
      <right style="thin">
        <color rgb="00D9D9D9"/>
      </right>
      <top style="thin">
        <color rgb="00D9D9D9"/>
      </top>
      <bottom style="thin">
        <color rgb="00D9D9D9"/>
      </bottom>
      <diagonal/>
    </border>
    <border>
      <left style="thin">
        <color rgb="00D9D9D9"/>
      </left>
      <right/>
      <top/>
      <bottom/>
      <diagonal/>
    </border>
    <border>
      <left/>
      <right style="thin">
        <color rgb="00D9D9D9"/>
      </right>
      <top/>
      <bottom/>
      <diagonal/>
    </border>
    <border>
      <left style="thin">
        <color rgb="00D9D9D9"/>
      </left>
      <right/>
      <top/>
      <bottom style="thin">
        <color rgb="00D9D9D9"/>
      </bottom>
      <diagonal/>
    </border>
    <border>
      <left/>
      <right/>
      <top/>
      <bottom style="thin">
        <color rgb="00D9D9D9"/>
      </bottom>
      <diagonal/>
    </border>
    <border>
      <left/>
      <right style="thin">
        <color rgb="00D9D9D9"/>
      </right>
      <top/>
      <bottom style="thin">
        <color rgb="00D9D9D9"/>
      </bottom>
      <diagonal/>
    </border>
  </borders>
  <cellStyleXfs count="1">
    <xf numFmtId="0" fontId="0" fillId="0" borderId="0"/>
  </cellStyleXfs>
  <cellXfs count="41">
    <xf numFmtId="0" fontId="0" fillId="0" borderId="0" pivotButton="0" quotePrefix="0" xfId="0"/>
    <xf numFmtId="0" fontId="1" fillId="2" borderId="1" applyAlignment="1" pivotButton="0" quotePrefix="0" xfId="0">
      <alignment horizontal="left" vertical="center"/>
    </xf>
    <xf numFmtId="0" fontId="2" fillId="0" borderId="0" pivotButton="0" quotePrefix="0" xfId="0"/>
    <xf numFmtId="0" fontId="3" fillId="0" borderId="1" applyAlignment="1" pivotButton="0" quotePrefix="0" xfId="0">
      <alignment vertical="center"/>
    </xf>
    <xf numFmtId="0" fontId="4" fillId="3" borderId="1" applyAlignment="1" pivotButton="0" quotePrefix="0" xfId="0">
      <alignment vertical="center"/>
    </xf>
    <xf numFmtId="0" fontId="3" fillId="0" borderId="0" pivotButton="0" quotePrefix="0" xfId="0"/>
    <xf numFmtId="0" fontId="6" fillId="4" borderId="1" applyAlignment="1" pivotButton="0" quotePrefix="0" xfId="0">
      <alignment vertical="top" wrapText="1"/>
    </xf>
    <xf numFmtId="0" fontId="5" fillId="4" borderId="1" applyAlignment="1" pivotButton="0" quotePrefix="0" xfId="0">
      <alignment vertical="center"/>
    </xf>
    <xf numFmtId="0" fontId="3" fillId="4" borderId="1" applyAlignment="1" pivotButton="0" quotePrefix="0" xfId="0">
      <alignment horizontal="center" vertical="center" wrapText="1"/>
    </xf>
    <xf numFmtId="0" fontId="5" fillId="4" borderId="1" pivotButton="0" quotePrefix="0" xfId="0"/>
    <xf numFmtId="0" fontId="4" fillId="3" borderId="1" pivotButton="0" quotePrefix="0" xfId="0"/>
    <xf numFmtId="0" fontId="5" fillId="0" borderId="1" pivotButton="0" quotePrefix="0" xfId="0"/>
    <xf numFmtId="0" fontId="4" fillId="3" borderId="1" applyAlignment="1" pivotButton="0" quotePrefix="0" xfId="0">
      <alignment horizontal="center" vertical="center"/>
    </xf>
    <xf numFmtId="0" fontId="5" fillId="0" borderId="1" applyAlignment="1" pivotButton="0" quotePrefix="0" xfId="0">
      <alignment horizontal="center"/>
    </xf>
    <xf numFmtId="0" fontId="4" fillId="3" borderId="1" applyAlignment="1" pivotButton="0" quotePrefix="0" xfId="0">
      <alignment horizontal="center"/>
    </xf>
    <xf numFmtId="164" fontId="5" fillId="0" borderId="1" pivotButton="0" quotePrefix="0" xfId="0"/>
    <xf numFmtId="9" fontId="5" fillId="0" borderId="1" pivotButton="0" quotePrefix="0" xfId="0"/>
    <xf numFmtId="3" fontId="5" fillId="0" borderId="1" pivotButton="0" quotePrefix="0" xfId="0"/>
    <xf numFmtId="0" fontId="3" fillId="4" borderId="1" applyAlignment="1" pivotButton="0" quotePrefix="0" xfId="0">
      <alignment horizontal="left" vertical="center"/>
    </xf>
    <xf numFmtId="164" fontId="7" fillId="5" borderId="1" applyAlignment="1" pivotButton="0" quotePrefix="0" xfId="0">
      <alignment horizontal="left" vertical="center"/>
    </xf>
    <xf numFmtId="0" fontId="7" fillId="5" borderId="1" applyAlignment="1" pivotButton="0" quotePrefix="0" xfId="0">
      <alignment horizontal="left" vertical="center"/>
    </xf>
    <xf numFmtId="9" fontId="7" fillId="5" borderId="1" applyAlignment="1" pivotButton="0" quotePrefix="0" xfId="0">
      <alignment horizontal="left" vertical="center"/>
    </xf>
    <xf numFmtId="3" fontId="7" fillId="5" borderId="1" applyAlignment="1" pivotButton="0" quotePrefix="0" xfId="0">
      <alignment horizontal="left" vertical="center"/>
    </xf>
    <xf numFmtId="164" fontId="8" fillId="5" borderId="1" applyAlignment="1" pivotButton="0" quotePrefix="0" xfId="0">
      <alignment horizontal="left" vertical="center"/>
    </xf>
    <xf numFmtId="0" fontId="8" fillId="5" borderId="1" applyAlignment="1" pivotButton="0" quotePrefix="0" xfId="0">
      <alignment horizontal="left" vertical="center"/>
    </xf>
    <xf numFmtId="3" fontId="8" fillId="5" borderId="1" applyAlignment="1" pivotButton="0" quotePrefix="0" xfId="0">
      <alignment horizontal="left" vertical="center"/>
    </xf>
    <xf numFmtId="0" fontId="6" fillId="5" borderId="1" applyAlignment="1" pivotButton="0" quotePrefix="0" xfId="0">
      <alignment vertical="center" wrapText="1"/>
    </xf>
    <xf numFmtId="0" fontId="3" fillId="4" borderId="1" pivotButton="0" quotePrefix="0" xfId="0"/>
    <xf numFmtId="0" fontId="0" fillId="0" borderId="1" pivotButton="0" quotePrefix="0" xfId="0"/>
    <xf numFmtId="164" fontId="0" fillId="0" borderId="1" pivotButton="0" quotePrefix="0" xfId="0"/>
    <xf numFmtId="0" fontId="9" fillId="5" borderId="1" applyAlignment="1" pivotButton="0" quotePrefix="0" xfId="0">
      <alignment vertical="top" wrapText="1"/>
    </xf>
    <xf numFmtId="0" fontId="0" fillId="0" borderId="4" pivotButton="0" quotePrefix="0" xfId="0"/>
    <xf numFmtId="0" fontId="0" fillId="0" borderId="5" pivotButton="0" quotePrefix="0" xfId="0"/>
    <xf numFmtId="0" fontId="0" fillId="0" borderId="2" pivotButton="0" quotePrefix="0" xfId="0"/>
    <xf numFmtId="0" fontId="0" fillId="0" borderId="3" pivotButton="0" quotePrefix="0" xfId="0"/>
    <xf numFmtId="0" fontId="0" fillId="0" borderId="6" pivotButton="0" quotePrefix="0" xfId="0"/>
    <xf numFmtId="0" fontId="0" fillId="0" borderId="7" pivotButton="0" quotePrefix="0" xfId="0"/>
    <xf numFmtId="0" fontId="0" fillId="0" borderId="8" pivotButton="0" quotePrefix="0" xfId="0"/>
    <xf numFmtId="0" fontId="0" fillId="0" borderId="9" pivotButton="0" quotePrefix="0" xfId="0"/>
    <xf numFmtId="0" fontId="0" fillId="0" borderId="10" pivotButton="0" quotePrefix="0" xfId="0"/>
    <xf numFmtId="0" fontId="10" fillId="0" borderId="0" pivotButton="0" quotePrefix="0" xfId="0"/>
  </cellXfs>
  <cellStyles count="1">
    <cellStyle name="Normal" xfId="0" builtinId="0" hidden="0"/>
  </cellStyles>
  <dxfs count="2">
    <dxf>
      <fill>
        <patternFill patternType="solid">
          <fgColor rgb="00FFC7CE"/>
        </patternFill>
      </fill>
    </dxf>
    <dxf>
      <fill>
        <patternFill patternType="solid">
          <fgColor rgb="00C6EF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Acumulado (USD)</a:t>
            </a:r>
          </a:p>
        </rich>
      </tx>
    </title>
    <plotArea>
      <lineChart>
        <grouping val="standard"/>
        <ser>
          <idx val="0"/>
          <order val="0"/>
          <tx>
            <strRef>
              <f>'Dashboard'!B17</f>
            </strRef>
          </tx>
          <spPr>
            <a:ln xmlns:a="http://schemas.openxmlformats.org/drawingml/2006/main">
              <a:prstDash val="solid"/>
            </a:ln>
          </spPr>
          <marker>
            <symbol val="none"/>
            <spPr>
              <a:ln xmlns:a="http://schemas.openxmlformats.org/drawingml/2006/main">
                <a:prstDash val="solid"/>
              </a:ln>
            </spPr>
          </marker>
          <cat>
            <numRef>
              <f>'Dashboard'!$A$18:$A$29</f>
            </numRef>
          </cat>
          <val>
            <numRef>
              <f>'Dashboard'!$B$18:$B$29</f>
            </numRef>
          </val>
        </ser>
        <ser>
          <idx val="1"/>
          <order val="1"/>
          <tx>
            <strRef>
              <f>'Dashboard'!C17</f>
            </strRef>
          </tx>
          <spPr>
            <a:ln xmlns:a="http://schemas.openxmlformats.org/drawingml/2006/main">
              <a:prstDash val="solid"/>
            </a:ln>
          </spPr>
          <marker>
            <symbol val="none"/>
            <spPr>
              <a:ln xmlns:a="http://schemas.openxmlformats.org/drawingml/2006/main">
                <a:prstDash val="solid"/>
              </a:ln>
            </spPr>
          </marker>
          <cat>
            <numRef>
              <f>'Dashboard'!$A$18:$A$29</f>
            </numRef>
          </cat>
          <val>
            <numRef>
              <f>'Dashboard'!$C$18:$C$29</f>
            </numRef>
          </val>
        </ser>
        <dLbls>
          <showVal val="0"/>
        </dLbls>
        <axId val="10"/>
        <axId val="100"/>
      </lineChart>
      <catAx>
        <axId val="10"/>
        <scaling>
          <orientation val="minMax"/>
        </scaling>
        <axPos val="l"/>
        <title>
          <tx>
            <rich>
              <a:bodyPr xmlns:a="http://schemas.openxmlformats.org/drawingml/2006/main"/>
              <a:p xmlns:a="http://schemas.openxmlformats.org/drawingml/2006/main">
                <a:pPr>
                  <a:defRPr/>
                </a:pPr>
                <a:r>
                  <a:t>Mes</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USD</a:t>
                </a:r>
              </a:p>
            </rich>
          </tx>
        </title>
        <majorTickMark val="none"/>
        <minorTickMark val="none"/>
        <crossAx val="10"/>
      </valAx>
    </plotArea>
    <legend>
      <legendPos val="r"/>
    </legend>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Actual por categoría (USD)</a:t>
            </a:r>
          </a:p>
        </rich>
      </tx>
    </title>
    <plotArea>
      <barChart>
        <barDir val="col"/>
        <grouping val="stacked"/>
        <ser>
          <idx val="0"/>
          <order val="0"/>
          <tx>
            <strRef>
              <f>'Dashboard'!H17</f>
            </strRef>
          </tx>
          <spPr>
            <a:ln xmlns:a="http://schemas.openxmlformats.org/drawingml/2006/main">
              <a:prstDash val="solid"/>
            </a:ln>
          </spPr>
          <cat>
            <numRef>
              <f>'Dashboard'!$G$18:$G$29</f>
            </numRef>
          </cat>
          <val>
            <numRef>
              <f>'Dashboard'!$H$18:$H$29</f>
            </numRef>
          </val>
        </ser>
        <ser>
          <idx val="1"/>
          <order val="1"/>
          <tx>
            <strRef>
              <f>'Dashboard'!I17</f>
            </strRef>
          </tx>
          <spPr>
            <a:ln xmlns:a="http://schemas.openxmlformats.org/drawingml/2006/main">
              <a:prstDash val="solid"/>
            </a:ln>
          </spPr>
          <cat>
            <numRef>
              <f>'Dashboard'!$G$18:$G$29</f>
            </numRef>
          </cat>
          <val>
            <numRef>
              <f>'Dashboard'!$I$18:$I$29</f>
            </numRef>
          </val>
        </ser>
        <dLbls>
          <showVal val="0"/>
        </dLbls>
        <gapWidth val="150"/>
        <axId val="10"/>
        <axId val="100"/>
      </barChart>
      <catAx>
        <axId val="10"/>
        <scaling>
          <orientation val="minMax"/>
        </scaling>
        <axPos val="l"/>
        <title>
          <tx>
            <rich>
              <a:bodyPr xmlns:a="http://schemas.openxmlformats.org/drawingml/2006/main"/>
              <a:p xmlns:a="http://schemas.openxmlformats.org/drawingml/2006/main">
                <a:pPr>
                  <a:defRPr/>
                </a:pPr>
                <a:r>
                  <a:t>Mes</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USD</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drawing1.xml><?xml version="1.0" encoding="utf-8"?>
<wsDr xmlns="http://schemas.openxmlformats.org/drawingml/2006/spreadsheetDrawing">
  <oneCellAnchor>
    <from>
      <col>0</col>
      <colOff>0</colOff>
      <row>15</row>
      <rowOff>0</rowOff>
    </from>
    <ext cx="5400000" cy="27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6</col>
      <colOff>0</colOff>
      <row>15</row>
      <rowOff>0</rowOff>
    </from>
    <ext cx="5400000" cy="270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tables/table1.xml><?xml version="1.0" encoding="utf-8"?>
<table xmlns="http://schemas.openxmlformats.org/spreadsheetml/2006/main" id="1" name="tblRecursos" displayName="tblRecursos" ref="A2:F100" headerRowCount="1">
  <autoFilter ref="A2:F100"/>
  <tableColumns count="6">
    <tableColumn id="1" name="ID Recurso"/>
    <tableColumn id="2" name="Rol"/>
    <tableColumn id="3" name="Proveedor"/>
    <tableColumn id="4" name="Rate USD/Hr"/>
    <tableColumn id="5" name="Rate COP/Hr (calc)"/>
    <tableColumn id="6" name="Notas"/>
  </tableColumns>
  <tableStyleInfo name="TableStyleMedium9" showRowStripes="1" showColumnStripes="0"/>
</table>
</file>

<file path=xl/tables/table2.xml><?xml version="1.0" encoding="utf-8"?>
<table xmlns="http://schemas.openxmlformats.org/spreadsheetml/2006/main" id="2" name="tblPlanHoras" displayName="tblPlanHoras" ref="A2:S52" headerRowCount="1">
  <autoFilter ref="A2:S52"/>
  <tableColumns count="19">
    <tableColumn id="1" name="ID Recurso"/>
    <tableColumn id="2" name="Rol"/>
    <tableColumn id="3" name="Rate USD/Hr"/>
    <tableColumn id="4" name="Rate COP/Hr"/>
    <tableColumn id="5" name="M1"/>
    <tableColumn id="6" name="M2"/>
    <tableColumn id="7" name="M3"/>
    <tableColumn id="8" name="M4"/>
    <tableColumn id="9" name="M5"/>
    <tableColumn id="10" name="M6"/>
    <tableColumn id="11" name="M7"/>
    <tableColumn id="12" name="M8"/>
    <tableColumn id="13" name="M9"/>
    <tableColumn id="14" name="M10"/>
    <tableColumn id="15" name="M11"/>
    <tableColumn id="16" name="M12"/>
    <tableColumn id="17" name="Total Horas"/>
    <tableColumn id="18" name="Budget USD"/>
    <tableColumn id="19" name="Budget COP"/>
  </tableColumns>
  <tableStyleInfo name="TableStyleMedium2" showRowStripes="1" showColumnStripes="0"/>
</table>
</file>

<file path=xl/tables/table3.xml><?xml version="1.0" encoding="utf-8"?>
<table xmlns="http://schemas.openxmlformats.org/spreadsheetml/2006/main" id="3" name="tblGastos" displayName="tblGastos" ref="A2:P302" headerRowCount="1">
  <autoFilter ref="A2:P302"/>
  <tableColumns count="16">
    <tableColumn id="1" name="Fecha"/>
    <tableColumn id="2" name="Mes (YYYY-MM)"/>
    <tableColumn id="3" name="Moneda (USD/COP)"/>
    <tableColumn id="4" name="ID Recurso"/>
    <tableColumn id="5" name="Rol"/>
    <tableColumn id="6" name="Categoría"/>
    <tableColumn id="7" name="Descripción"/>
    <tableColumn id="8" name="Horas"/>
    <tableColumn id="9" name="Rate (moneda)"/>
    <tableColumn id="10" name="Monto Manual (moneda)"/>
    <tableColumn id="11" name="Monto USD (calc)"/>
    <tableColumn id="12" name="Monto COP (calc)"/>
    <tableColumn id="13" name="Factura/OC"/>
    <tableColumn id="14" name="Aprobado (S/N)"/>
    <tableColumn id="15" name="Responsable"/>
    <tableColumn id="16" name="Notas"/>
  </tableColumns>
  <tableStyleInfo name="TableStyleMedium7"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_rels/sheet4.xml.rels><Relationships xmlns="http://schemas.openxmlformats.org/package/2006/relationships"><Relationship Type="http://schemas.openxmlformats.org/officeDocument/2006/relationships/table" Target="/xl/tables/table3.xml" Id="rId1"/></Relationships>
</file>

<file path=xl/worksheets/_rels/sheet6.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I14"/>
  <sheetViews>
    <sheetView showGridLines="0" zoomScale="110" workbookViewId="0">
      <pane ySplit="4" topLeftCell="A5" activePane="bottomLeft" state="frozen"/>
      <selection pane="bottomLeft" activeCell="A1" sqref="A1"/>
    </sheetView>
  </sheetViews>
  <sheetFormatPr baseColWidth="8" defaultRowHeight="15"/>
  <cols>
    <col width="36" customWidth="1" min="1" max="1"/>
    <col width="26" customWidth="1" min="2" max="2"/>
    <col width="2" customWidth="1" min="3" max="3"/>
    <col width="10" customWidth="1" min="4" max="4"/>
    <col width="18" customWidth="1" min="5" max="5"/>
    <col width="18" customWidth="1" min="6" max="6"/>
    <col width="18" customWidth="1" min="7" max="7"/>
    <col width="18" customWidth="1" min="8" max="8"/>
    <col width="18" customWidth="1" min="9" max="9"/>
  </cols>
  <sheetData>
    <row r="1" ht="32" customHeight="1">
      <c r="A1" s="1" t="inlineStr">
        <is>
          <t>Control Ejecutivo de Presupuesto — Proyecto TI (Dual Moneda USD/COP)</t>
        </is>
      </c>
      <c r="B1" s="31" t="n"/>
      <c r="C1" s="31" t="n"/>
      <c r="D1" s="31" t="n"/>
      <c r="E1" s="31" t="n"/>
      <c r="F1" s="31" t="n"/>
      <c r="G1" s="31" t="n"/>
      <c r="H1" s="31" t="n"/>
      <c r="I1" s="32" t="n"/>
    </row>
    <row r="3">
      <c r="A3" s="2" t="inlineStr">
        <is>
          <t>Parámetros</t>
        </is>
      </c>
    </row>
    <row r="5">
      <c r="A5" s="3" t="inlineStr">
        <is>
          <t>Nombre del proyecto</t>
        </is>
      </c>
      <c r="B5" s="4" t="inlineStr">
        <is>
          <t>Proyecto Atlas</t>
        </is>
      </c>
      <c r="D5" s="5" t="inlineStr">
        <is>
          <t>Tip</t>
        </is>
      </c>
    </row>
    <row r="6">
      <c r="A6" s="3" t="inlineStr">
        <is>
          <t>Moneda base (referencial)</t>
        </is>
      </c>
      <c r="B6" s="4" t="inlineStr">
        <is>
          <t>USD</t>
        </is>
      </c>
      <c r="D6" s="6" t="inlineStr">
        <is>
          <t>Dual moneda: registra gastos en USD o COP.
El sistema normaliza todo a USD y también muestra COP usando la TRM.
Celdas azules = inputs.</t>
        </is>
      </c>
      <c r="E6" s="33" t="n"/>
      <c r="F6" s="33" t="n"/>
      <c r="G6" s="33" t="n"/>
      <c r="H6" s="33" t="n"/>
      <c r="I6" s="34" t="n"/>
    </row>
    <row r="7">
      <c r="A7" s="3" t="inlineStr">
        <is>
          <t>TRM (COP por USD)</t>
        </is>
      </c>
      <c r="B7" s="4" t="n">
        <v>4100</v>
      </c>
      <c r="D7" s="35" t="n"/>
      <c r="I7" s="36" t="n"/>
    </row>
    <row r="8">
      <c r="A8" s="3" t="inlineStr">
        <is>
          <t>Presupuesto máximo (USD) [input]</t>
        </is>
      </c>
      <c r="B8" s="4" t="n">
        <v>250000</v>
      </c>
      <c r="D8" s="37" t="n"/>
      <c r="E8" s="38" t="n"/>
      <c r="F8" s="38" t="n"/>
      <c r="G8" s="38" t="n"/>
      <c r="H8" s="38" t="n"/>
      <c r="I8" s="39" t="n"/>
    </row>
    <row r="9">
      <c r="A9" s="3" t="inlineStr">
        <is>
          <t>Presupuesto máximo (COP) [calc]</t>
        </is>
      </c>
      <c r="B9" s="7">
        <f>B8*B7</f>
        <v/>
      </c>
    </row>
    <row r="10">
      <c r="A10" s="3" t="inlineStr">
        <is>
          <t>Fecha inicio</t>
        </is>
      </c>
      <c r="B10" s="4" t="inlineStr">
        <is>
          <t>2026-01-01</t>
        </is>
      </c>
    </row>
    <row r="11">
      <c r="A11" s="3" t="inlineStr">
        <is>
          <t>Mes de reporte (YYYY-MM)</t>
        </is>
      </c>
      <c r="B11" s="4" t="inlineStr">
        <is>
          <t>2026-01</t>
        </is>
      </c>
    </row>
    <row r="12">
      <c r="A12" s="3" t="inlineStr">
        <is>
          <t>Umbral amarillo (% gasto)</t>
        </is>
      </c>
      <c r="B12" s="4" t="n">
        <v>0.8</v>
      </c>
    </row>
    <row r="13">
      <c r="A13" s="3" t="inlineStr">
        <is>
          <t>Umbral rojo (% gasto)</t>
        </is>
      </c>
      <c r="B13" s="4" t="n">
        <v>0.95</v>
      </c>
    </row>
    <row r="14">
      <c r="A14" s="3" t="inlineStr">
        <is>
          <t>Vista de dashboard</t>
        </is>
      </c>
      <c r="B14" s="4" t="inlineStr">
        <is>
          <t>AMBAS</t>
        </is>
      </c>
    </row>
  </sheetData>
  <mergeCells count="2">
    <mergeCell ref="A1:I1"/>
    <mergeCell ref="D6:I8"/>
  </mergeCells>
  <dataValidations count="1">
    <dataValidation sqref="B14" showDropDown="0" showInputMessage="0" showErrorMessage="0" allowBlank="0" type="list">
      <formula1>"USD,COP,AMBAS"</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00"/>
  <sheetViews>
    <sheetView showGridLines="0" zoomScale="110" workbookViewId="0">
      <pane ySplit="2" topLeftCell="A3" activePane="bottomLeft" state="frozen"/>
      <selection pane="bottomLeft" activeCell="A1" sqref="A1"/>
    </sheetView>
  </sheetViews>
  <sheetFormatPr baseColWidth="8" defaultRowHeight="15"/>
  <cols>
    <col width="14" customWidth="1" min="1" max="1"/>
    <col width="22" customWidth="1" min="2" max="2"/>
    <col width="18" customWidth="1" min="3" max="3"/>
    <col width="14" customWidth="1" min="4" max="4"/>
    <col width="16" customWidth="1" min="5" max="5"/>
    <col width="26" customWidth="1" min="6" max="6"/>
    <col width="2" customWidth="1" min="7" max="7"/>
    <col width="2" customWidth="1" min="8" max="8"/>
  </cols>
  <sheetData>
    <row r="1" ht="28" customHeight="1">
      <c r="A1" s="1" t="inlineStr">
        <is>
          <t>Catálogo de recursos (perfiles por hora)</t>
        </is>
      </c>
      <c r="B1" s="31" t="n"/>
      <c r="C1" s="31" t="n"/>
      <c r="D1" s="31" t="n"/>
      <c r="E1" s="31" t="n"/>
      <c r="F1" s="31" t="n"/>
      <c r="G1" s="31" t="n"/>
      <c r="H1" s="32" t="n"/>
    </row>
    <row r="2">
      <c r="A2" s="8" t="inlineStr">
        <is>
          <t>ID Recurso</t>
        </is>
      </c>
      <c r="B2" s="8" t="inlineStr">
        <is>
          <t>Rol</t>
        </is>
      </c>
      <c r="C2" s="8" t="inlineStr">
        <is>
          <t>Proveedor</t>
        </is>
      </c>
      <c r="D2" s="8" t="inlineStr">
        <is>
          <t>Rate USD/Hr</t>
        </is>
      </c>
      <c r="E2" s="8" t="inlineStr">
        <is>
          <t>Rate COP/Hr (calc)</t>
        </is>
      </c>
      <c r="F2" s="8" t="inlineStr">
        <is>
          <t>Notas</t>
        </is>
      </c>
    </row>
    <row r="3">
      <c r="A3" s="4" t="inlineStr">
        <is>
          <t>R-001</t>
        </is>
      </c>
      <c r="B3" s="4" t="inlineStr">
        <is>
          <t>PM / Scrum Master</t>
        </is>
      </c>
      <c r="C3" s="4" t="inlineStr">
        <is>
          <t>Vendor A</t>
        </is>
      </c>
      <c r="D3" s="4" t="n">
        <v>55</v>
      </c>
      <c r="E3" s="9">
        <f>IF(D3="","",D3*Setup!$B$7)</f>
        <v/>
      </c>
      <c r="F3" s="4" t="inlineStr"/>
    </row>
    <row r="4">
      <c r="A4" s="4" t="inlineStr">
        <is>
          <t>R-002</t>
        </is>
      </c>
      <c r="B4" s="4" t="inlineStr">
        <is>
          <t>Tech Lead</t>
        </is>
      </c>
      <c r="C4" s="4" t="inlineStr">
        <is>
          <t>Vendor A</t>
        </is>
      </c>
      <c r="D4" s="4" t="n">
        <v>85</v>
      </c>
      <c r="E4" s="9">
        <f>IF(D4="","",D4*Setup!$B$7)</f>
        <v/>
      </c>
      <c r="F4" s="4" t="inlineStr"/>
    </row>
    <row r="5">
      <c r="A5" s="4" t="inlineStr">
        <is>
          <t>R-003</t>
        </is>
      </c>
      <c r="B5" s="4" t="inlineStr">
        <is>
          <t>Backend Dev</t>
        </is>
      </c>
      <c r="C5" s="4" t="inlineStr">
        <is>
          <t>Vendor B</t>
        </is>
      </c>
      <c r="D5" s="4" t="n">
        <v>65</v>
      </c>
      <c r="E5" s="9">
        <f>IF(D5="","",D5*Setup!$B$7)</f>
        <v/>
      </c>
      <c r="F5" s="4" t="inlineStr"/>
    </row>
    <row r="6">
      <c r="A6" s="4" t="inlineStr">
        <is>
          <t>R-004</t>
        </is>
      </c>
      <c r="B6" s="4" t="inlineStr">
        <is>
          <t>QA Automation</t>
        </is>
      </c>
      <c r="C6" s="4" t="inlineStr">
        <is>
          <t>Vendor B</t>
        </is>
      </c>
      <c r="D6" s="4" t="n">
        <v>50</v>
      </c>
      <c r="E6" s="9">
        <f>IF(D6="","",D6*Setup!$B$7)</f>
        <v/>
      </c>
      <c r="F6" s="4" t="inlineStr"/>
    </row>
    <row r="7">
      <c r="A7" s="4" t="inlineStr">
        <is>
          <t>R-005</t>
        </is>
      </c>
      <c r="B7" s="4" t="inlineStr">
        <is>
          <t>Data Engineer</t>
        </is>
      </c>
      <c r="C7" s="4" t="inlineStr">
        <is>
          <t>Vendor C</t>
        </is>
      </c>
      <c r="D7" s="4" t="n">
        <v>75</v>
      </c>
      <c r="E7" s="9">
        <f>IF(D7="","",D7*Setup!$B$7)</f>
        <v/>
      </c>
      <c r="F7" s="4" t="inlineStr"/>
    </row>
    <row r="8">
      <c r="A8" s="4" t="n"/>
      <c r="B8" s="4" t="n"/>
      <c r="C8" s="4" t="n"/>
      <c r="D8" s="4" t="n"/>
      <c r="E8" s="9">
        <f>IF(D8="","",D8*Setup!$B$7)</f>
        <v/>
      </c>
      <c r="F8" s="4" t="n"/>
    </row>
    <row r="9">
      <c r="A9" s="4" t="n"/>
      <c r="B9" s="4" t="n"/>
      <c r="C9" s="4" t="n"/>
      <c r="D9" s="4" t="n"/>
      <c r="E9" s="9">
        <f>IF(D9="","",D9*Setup!$B$7)</f>
        <v/>
      </c>
      <c r="F9" s="4" t="n"/>
    </row>
    <row r="10">
      <c r="A10" s="4" t="n"/>
      <c r="B10" s="4" t="n"/>
      <c r="C10" s="4" t="n"/>
      <c r="D10" s="4" t="n"/>
      <c r="E10" s="9">
        <f>IF(D10="","",D10*Setup!$B$7)</f>
        <v/>
      </c>
      <c r="F10" s="4" t="n"/>
    </row>
    <row r="11">
      <c r="A11" s="4" t="n"/>
      <c r="B11" s="4" t="n"/>
      <c r="C11" s="4" t="n"/>
      <c r="D11" s="4" t="n"/>
      <c r="E11" s="9">
        <f>IF(D11="","",D11*Setup!$B$7)</f>
        <v/>
      </c>
      <c r="F11" s="4" t="n"/>
    </row>
    <row r="12">
      <c r="A12" s="4" t="n"/>
      <c r="B12" s="4" t="n"/>
      <c r="C12" s="4" t="n"/>
      <c r="D12" s="4" t="n"/>
      <c r="E12" s="9">
        <f>IF(D12="","",D12*Setup!$B$7)</f>
        <v/>
      </c>
      <c r="F12" s="4" t="n"/>
    </row>
    <row r="13">
      <c r="A13" s="4" t="n"/>
      <c r="B13" s="4" t="n"/>
      <c r="C13" s="4" t="n"/>
      <c r="D13" s="4" t="n"/>
      <c r="E13" s="9">
        <f>IF(D13="","",D13*Setup!$B$7)</f>
        <v/>
      </c>
      <c r="F13" s="4" t="n"/>
    </row>
    <row r="14">
      <c r="A14" s="4" t="n"/>
      <c r="B14" s="4" t="n"/>
      <c r="C14" s="4" t="n"/>
      <c r="D14" s="4" t="n"/>
      <c r="E14" s="9">
        <f>IF(D14="","",D14*Setup!$B$7)</f>
        <v/>
      </c>
      <c r="F14" s="4" t="n"/>
    </row>
    <row r="15">
      <c r="A15" s="4" t="n"/>
      <c r="B15" s="4" t="n"/>
      <c r="C15" s="4" t="n"/>
      <c r="D15" s="4" t="n"/>
      <c r="E15" s="9">
        <f>IF(D15="","",D15*Setup!$B$7)</f>
        <v/>
      </c>
      <c r="F15" s="4" t="n"/>
    </row>
    <row r="16">
      <c r="A16" s="4" t="n"/>
      <c r="B16" s="4" t="n"/>
      <c r="C16" s="4" t="n"/>
      <c r="D16" s="4" t="n"/>
      <c r="E16" s="9">
        <f>IF(D16="","",D16*Setup!$B$7)</f>
        <v/>
      </c>
      <c r="F16" s="4" t="n"/>
    </row>
    <row r="17">
      <c r="A17" s="4" t="n"/>
      <c r="B17" s="4" t="n"/>
      <c r="C17" s="4" t="n"/>
      <c r="D17" s="4" t="n"/>
      <c r="E17" s="9">
        <f>IF(D17="","",D17*Setup!$B$7)</f>
        <v/>
      </c>
      <c r="F17" s="4" t="n"/>
    </row>
    <row r="18">
      <c r="A18" s="4" t="n"/>
      <c r="B18" s="4" t="n"/>
      <c r="C18" s="4" t="n"/>
      <c r="D18" s="4" t="n"/>
      <c r="E18" s="9">
        <f>IF(D18="","",D18*Setup!$B$7)</f>
        <v/>
      </c>
      <c r="F18" s="4" t="n"/>
    </row>
    <row r="19">
      <c r="A19" s="4" t="n"/>
      <c r="B19" s="4" t="n"/>
      <c r="C19" s="4" t="n"/>
      <c r="D19" s="4" t="n"/>
      <c r="E19" s="9">
        <f>IF(D19="","",D19*Setup!$B$7)</f>
        <v/>
      </c>
      <c r="F19" s="4" t="n"/>
    </row>
    <row r="20">
      <c r="A20" s="4" t="n"/>
      <c r="B20" s="4" t="n"/>
      <c r="C20" s="4" t="n"/>
      <c r="D20" s="4" t="n"/>
      <c r="E20" s="9">
        <f>IF(D20="","",D20*Setup!$B$7)</f>
        <v/>
      </c>
      <c r="F20" s="4" t="n"/>
    </row>
    <row r="21">
      <c r="A21" s="4" t="n"/>
      <c r="B21" s="4" t="n"/>
      <c r="C21" s="4" t="n"/>
      <c r="D21" s="4" t="n"/>
      <c r="E21" s="9">
        <f>IF(D21="","",D21*Setup!$B$7)</f>
        <v/>
      </c>
      <c r="F21" s="4" t="n"/>
    </row>
    <row r="22">
      <c r="A22" s="4" t="n"/>
      <c r="B22" s="4" t="n"/>
      <c r="C22" s="4" t="n"/>
      <c r="D22" s="4" t="n"/>
      <c r="E22" s="9">
        <f>IF(D22="","",D22*Setup!$B$7)</f>
        <v/>
      </c>
      <c r="F22" s="4" t="n"/>
    </row>
    <row r="23">
      <c r="A23" s="4" t="n"/>
      <c r="B23" s="4" t="n"/>
      <c r="C23" s="4" t="n"/>
      <c r="D23" s="4" t="n"/>
      <c r="E23" s="9">
        <f>IF(D23="","",D23*Setup!$B$7)</f>
        <v/>
      </c>
      <c r="F23" s="4" t="n"/>
    </row>
    <row r="24">
      <c r="A24" s="4" t="n"/>
      <c r="B24" s="4" t="n"/>
      <c r="C24" s="4" t="n"/>
      <c r="D24" s="4" t="n"/>
      <c r="E24" s="9">
        <f>IF(D24="","",D24*Setup!$B$7)</f>
        <v/>
      </c>
      <c r="F24" s="4" t="n"/>
    </row>
    <row r="25">
      <c r="A25" s="4" t="n"/>
      <c r="B25" s="4" t="n"/>
      <c r="C25" s="4" t="n"/>
      <c r="D25" s="4" t="n"/>
      <c r="E25" s="9">
        <f>IF(D25="","",D25*Setup!$B$7)</f>
        <v/>
      </c>
      <c r="F25" s="4" t="n"/>
    </row>
    <row r="26">
      <c r="A26" s="4" t="n"/>
      <c r="B26" s="4" t="n"/>
      <c r="C26" s="4" t="n"/>
      <c r="D26" s="4" t="n"/>
      <c r="E26" s="9">
        <f>IF(D26="","",D26*Setup!$B$7)</f>
        <v/>
      </c>
      <c r="F26" s="4" t="n"/>
    </row>
    <row r="27">
      <c r="A27" s="4" t="n"/>
      <c r="B27" s="4" t="n"/>
      <c r="C27" s="4" t="n"/>
      <c r="D27" s="4" t="n"/>
      <c r="E27" s="9">
        <f>IF(D27="","",D27*Setup!$B$7)</f>
        <v/>
      </c>
      <c r="F27" s="4" t="n"/>
    </row>
    <row r="28">
      <c r="A28" s="4" t="n"/>
      <c r="B28" s="4" t="n"/>
      <c r="C28" s="4" t="n"/>
      <c r="D28" s="4" t="n"/>
      <c r="E28" s="9">
        <f>IF(D28="","",D28*Setup!$B$7)</f>
        <v/>
      </c>
      <c r="F28" s="4" t="n"/>
    </row>
    <row r="29">
      <c r="A29" s="4" t="n"/>
      <c r="B29" s="4" t="n"/>
      <c r="C29" s="4" t="n"/>
      <c r="D29" s="4" t="n"/>
      <c r="E29" s="9">
        <f>IF(D29="","",D29*Setup!$B$7)</f>
        <v/>
      </c>
      <c r="F29" s="4" t="n"/>
    </row>
    <row r="30">
      <c r="A30" s="4" t="n"/>
      <c r="B30" s="4" t="n"/>
      <c r="C30" s="4" t="n"/>
      <c r="D30" s="4" t="n"/>
      <c r="E30" s="9">
        <f>IF(D30="","",D30*Setup!$B$7)</f>
        <v/>
      </c>
      <c r="F30" s="4" t="n"/>
    </row>
    <row r="31">
      <c r="A31" s="4" t="n"/>
      <c r="B31" s="4" t="n"/>
      <c r="C31" s="4" t="n"/>
      <c r="D31" s="4" t="n"/>
      <c r="E31" s="9">
        <f>IF(D31="","",D31*Setup!$B$7)</f>
        <v/>
      </c>
      <c r="F31" s="4" t="n"/>
    </row>
    <row r="32">
      <c r="A32" s="4" t="n"/>
      <c r="B32" s="4" t="n"/>
      <c r="C32" s="4" t="n"/>
      <c r="D32" s="4" t="n"/>
      <c r="E32" s="9">
        <f>IF(D32="","",D32*Setup!$B$7)</f>
        <v/>
      </c>
      <c r="F32" s="4" t="n"/>
    </row>
    <row r="33">
      <c r="A33" s="4" t="n"/>
      <c r="B33" s="4" t="n"/>
      <c r="C33" s="4" t="n"/>
      <c r="D33" s="4" t="n"/>
      <c r="E33" s="9">
        <f>IF(D33="","",D33*Setup!$B$7)</f>
        <v/>
      </c>
      <c r="F33" s="4" t="n"/>
    </row>
    <row r="34">
      <c r="A34" s="4" t="n"/>
      <c r="B34" s="4" t="n"/>
      <c r="C34" s="4" t="n"/>
      <c r="D34" s="4" t="n"/>
      <c r="E34" s="9">
        <f>IF(D34="","",D34*Setup!$B$7)</f>
        <v/>
      </c>
      <c r="F34" s="4" t="n"/>
    </row>
    <row r="35">
      <c r="A35" s="4" t="n"/>
      <c r="B35" s="4" t="n"/>
      <c r="C35" s="4" t="n"/>
      <c r="D35" s="4" t="n"/>
      <c r="E35" s="9">
        <f>IF(D35="","",D35*Setup!$B$7)</f>
        <v/>
      </c>
      <c r="F35" s="4" t="n"/>
    </row>
    <row r="36">
      <c r="A36" s="4" t="n"/>
      <c r="B36" s="4" t="n"/>
      <c r="C36" s="4" t="n"/>
      <c r="D36" s="4" t="n"/>
      <c r="E36" s="9">
        <f>IF(D36="","",D36*Setup!$B$7)</f>
        <v/>
      </c>
      <c r="F36" s="4" t="n"/>
    </row>
    <row r="37">
      <c r="A37" s="4" t="n"/>
      <c r="B37" s="4" t="n"/>
      <c r="C37" s="4" t="n"/>
      <c r="D37" s="4" t="n"/>
      <c r="E37" s="9">
        <f>IF(D37="","",D37*Setup!$B$7)</f>
        <v/>
      </c>
      <c r="F37" s="4" t="n"/>
    </row>
    <row r="38">
      <c r="A38" s="4" t="n"/>
      <c r="B38" s="4" t="n"/>
      <c r="C38" s="4" t="n"/>
      <c r="D38" s="4" t="n"/>
      <c r="E38" s="9">
        <f>IF(D38="","",D38*Setup!$B$7)</f>
        <v/>
      </c>
      <c r="F38" s="4" t="n"/>
    </row>
    <row r="39">
      <c r="A39" s="4" t="n"/>
      <c r="B39" s="4" t="n"/>
      <c r="C39" s="4" t="n"/>
      <c r="D39" s="4" t="n"/>
      <c r="E39" s="9">
        <f>IF(D39="","",D39*Setup!$B$7)</f>
        <v/>
      </c>
      <c r="F39" s="4" t="n"/>
    </row>
    <row r="40">
      <c r="A40" s="4" t="n"/>
      <c r="B40" s="4" t="n"/>
      <c r="C40" s="4" t="n"/>
      <c r="D40" s="4" t="n"/>
      <c r="E40" s="9">
        <f>IF(D40="","",D40*Setup!$B$7)</f>
        <v/>
      </c>
      <c r="F40" s="4" t="n"/>
    </row>
    <row r="41">
      <c r="A41" s="4" t="n"/>
      <c r="B41" s="4" t="n"/>
      <c r="C41" s="4" t="n"/>
      <c r="D41" s="4" t="n"/>
      <c r="E41" s="9">
        <f>IF(D41="","",D41*Setup!$B$7)</f>
        <v/>
      </c>
      <c r="F41" s="4" t="n"/>
    </row>
    <row r="42">
      <c r="A42" s="4" t="n"/>
      <c r="B42" s="4" t="n"/>
      <c r="C42" s="4" t="n"/>
      <c r="D42" s="4" t="n"/>
      <c r="E42" s="9">
        <f>IF(D42="","",D42*Setup!$B$7)</f>
        <v/>
      </c>
      <c r="F42" s="4" t="n"/>
    </row>
    <row r="43">
      <c r="A43" s="4" t="n"/>
      <c r="B43" s="4" t="n"/>
      <c r="C43" s="4" t="n"/>
      <c r="D43" s="4" t="n"/>
      <c r="E43" s="9">
        <f>IF(D43="","",D43*Setup!$B$7)</f>
        <v/>
      </c>
      <c r="F43" s="4" t="n"/>
    </row>
    <row r="44">
      <c r="A44" s="4" t="n"/>
      <c r="B44" s="4" t="n"/>
      <c r="C44" s="4" t="n"/>
      <c r="D44" s="4" t="n"/>
      <c r="E44" s="9">
        <f>IF(D44="","",D44*Setup!$B$7)</f>
        <v/>
      </c>
      <c r="F44" s="4" t="n"/>
    </row>
    <row r="45">
      <c r="A45" s="4" t="n"/>
      <c r="B45" s="4" t="n"/>
      <c r="C45" s="4" t="n"/>
      <c r="D45" s="4" t="n"/>
      <c r="E45" s="9">
        <f>IF(D45="","",D45*Setup!$B$7)</f>
        <v/>
      </c>
      <c r="F45" s="4" t="n"/>
    </row>
    <row r="46">
      <c r="A46" s="4" t="n"/>
      <c r="B46" s="4" t="n"/>
      <c r="C46" s="4" t="n"/>
      <c r="D46" s="4" t="n"/>
      <c r="E46" s="9">
        <f>IF(D46="","",D46*Setup!$B$7)</f>
        <v/>
      </c>
      <c r="F46" s="4" t="n"/>
    </row>
    <row r="47">
      <c r="A47" s="4" t="n"/>
      <c r="B47" s="4" t="n"/>
      <c r="C47" s="4" t="n"/>
      <c r="D47" s="4" t="n"/>
      <c r="E47" s="9">
        <f>IF(D47="","",D47*Setup!$B$7)</f>
        <v/>
      </c>
      <c r="F47" s="4" t="n"/>
    </row>
    <row r="48">
      <c r="A48" s="4" t="n"/>
      <c r="B48" s="4" t="n"/>
      <c r="C48" s="4" t="n"/>
      <c r="D48" s="4" t="n"/>
      <c r="E48" s="9">
        <f>IF(D48="","",D48*Setup!$B$7)</f>
        <v/>
      </c>
      <c r="F48" s="4" t="n"/>
    </row>
    <row r="49">
      <c r="A49" s="4" t="n"/>
      <c r="B49" s="4" t="n"/>
      <c r="C49" s="4" t="n"/>
      <c r="D49" s="4" t="n"/>
      <c r="E49" s="9">
        <f>IF(D49="","",D49*Setup!$B$7)</f>
        <v/>
      </c>
      <c r="F49" s="4" t="n"/>
    </row>
    <row r="50">
      <c r="A50" s="4" t="n"/>
      <c r="B50" s="4" t="n"/>
      <c r="C50" s="4" t="n"/>
      <c r="D50" s="4" t="n"/>
      <c r="E50" s="9">
        <f>IF(D50="","",D50*Setup!$B$7)</f>
        <v/>
      </c>
      <c r="F50" s="4" t="n"/>
    </row>
    <row r="51">
      <c r="A51" s="4" t="n"/>
      <c r="B51" s="4" t="n"/>
      <c r="C51" s="4" t="n"/>
      <c r="D51" s="4" t="n"/>
      <c r="E51" s="9">
        <f>IF(D51="","",D51*Setup!$B$7)</f>
        <v/>
      </c>
      <c r="F51" s="4" t="n"/>
    </row>
    <row r="52">
      <c r="A52" s="4" t="n"/>
      <c r="B52" s="4" t="n"/>
      <c r="C52" s="4" t="n"/>
      <c r="D52" s="4" t="n"/>
      <c r="E52" s="9">
        <f>IF(D52="","",D52*Setup!$B$7)</f>
        <v/>
      </c>
      <c r="F52" s="4" t="n"/>
    </row>
    <row r="53">
      <c r="A53" s="4" t="n"/>
      <c r="B53" s="4" t="n"/>
      <c r="C53" s="4" t="n"/>
      <c r="D53" s="4" t="n"/>
      <c r="E53" s="9">
        <f>IF(D53="","",D53*Setup!$B$7)</f>
        <v/>
      </c>
      <c r="F53" s="4" t="n"/>
    </row>
    <row r="54">
      <c r="A54" s="4" t="n"/>
      <c r="B54" s="4" t="n"/>
      <c r="C54" s="4" t="n"/>
      <c r="D54" s="4" t="n"/>
      <c r="E54" s="9">
        <f>IF(D54="","",D54*Setup!$B$7)</f>
        <v/>
      </c>
      <c r="F54" s="4" t="n"/>
    </row>
    <row r="55">
      <c r="A55" s="4" t="n"/>
      <c r="B55" s="4" t="n"/>
      <c r="C55" s="4" t="n"/>
      <c r="D55" s="4" t="n"/>
      <c r="E55" s="9">
        <f>IF(D55="","",D55*Setup!$B$7)</f>
        <v/>
      </c>
      <c r="F55" s="4" t="n"/>
    </row>
    <row r="56">
      <c r="A56" s="4" t="n"/>
      <c r="B56" s="4" t="n"/>
      <c r="C56" s="4" t="n"/>
      <c r="D56" s="4" t="n"/>
      <c r="E56" s="9">
        <f>IF(D56="","",D56*Setup!$B$7)</f>
        <v/>
      </c>
      <c r="F56" s="4" t="n"/>
    </row>
    <row r="57">
      <c r="A57" s="4" t="n"/>
      <c r="B57" s="4" t="n"/>
      <c r="C57" s="4" t="n"/>
      <c r="D57" s="4" t="n"/>
      <c r="E57" s="9">
        <f>IF(D57="","",D57*Setup!$B$7)</f>
        <v/>
      </c>
      <c r="F57" s="4" t="n"/>
    </row>
    <row r="58">
      <c r="A58" s="4" t="n"/>
      <c r="B58" s="4" t="n"/>
      <c r="C58" s="4" t="n"/>
      <c r="D58" s="4" t="n"/>
      <c r="E58" s="9">
        <f>IF(D58="","",D58*Setup!$B$7)</f>
        <v/>
      </c>
      <c r="F58" s="4" t="n"/>
    </row>
    <row r="59">
      <c r="A59" s="4" t="n"/>
      <c r="B59" s="4" t="n"/>
      <c r="C59" s="4" t="n"/>
      <c r="D59" s="4" t="n"/>
      <c r="E59" s="9">
        <f>IF(D59="","",D59*Setup!$B$7)</f>
        <v/>
      </c>
      <c r="F59" s="4" t="n"/>
    </row>
    <row r="60">
      <c r="A60" s="4" t="n"/>
      <c r="B60" s="4" t="n"/>
      <c r="C60" s="4" t="n"/>
      <c r="D60" s="4" t="n"/>
      <c r="E60" s="9">
        <f>IF(D60="","",D60*Setup!$B$7)</f>
        <v/>
      </c>
      <c r="F60" s="4" t="n"/>
    </row>
    <row r="61">
      <c r="A61" s="4" t="n"/>
      <c r="B61" s="4" t="n"/>
      <c r="C61" s="4" t="n"/>
      <c r="D61" s="4" t="n"/>
      <c r="E61" s="9">
        <f>IF(D61="","",D61*Setup!$B$7)</f>
        <v/>
      </c>
      <c r="F61" s="4" t="n"/>
    </row>
    <row r="62">
      <c r="A62" s="4" t="n"/>
      <c r="B62" s="4" t="n"/>
      <c r="C62" s="4" t="n"/>
      <c r="D62" s="4" t="n"/>
      <c r="E62" s="9">
        <f>IF(D62="","",D62*Setup!$B$7)</f>
        <v/>
      </c>
      <c r="F62" s="4" t="n"/>
    </row>
    <row r="63">
      <c r="A63" s="4" t="n"/>
      <c r="B63" s="4" t="n"/>
      <c r="C63" s="4" t="n"/>
      <c r="D63" s="4" t="n"/>
      <c r="E63" s="9">
        <f>IF(D63="","",D63*Setup!$B$7)</f>
        <v/>
      </c>
      <c r="F63" s="4" t="n"/>
    </row>
    <row r="64">
      <c r="A64" s="4" t="n"/>
      <c r="B64" s="4" t="n"/>
      <c r="C64" s="4" t="n"/>
      <c r="D64" s="4" t="n"/>
      <c r="E64" s="9">
        <f>IF(D64="","",D64*Setup!$B$7)</f>
        <v/>
      </c>
      <c r="F64" s="4" t="n"/>
    </row>
    <row r="65">
      <c r="A65" s="4" t="n"/>
      <c r="B65" s="4" t="n"/>
      <c r="C65" s="4" t="n"/>
      <c r="D65" s="4" t="n"/>
      <c r="E65" s="9">
        <f>IF(D65="","",D65*Setup!$B$7)</f>
        <v/>
      </c>
      <c r="F65" s="4" t="n"/>
    </row>
    <row r="66">
      <c r="A66" s="4" t="n"/>
      <c r="B66" s="4" t="n"/>
      <c r="C66" s="4" t="n"/>
      <c r="D66" s="4" t="n"/>
      <c r="E66" s="9">
        <f>IF(D66="","",D66*Setup!$B$7)</f>
        <v/>
      </c>
      <c r="F66" s="4" t="n"/>
    </row>
    <row r="67">
      <c r="A67" s="4" t="n"/>
      <c r="B67" s="4" t="n"/>
      <c r="C67" s="4" t="n"/>
      <c r="D67" s="4" t="n"/>
      <c r="E67" s="9">
        <f>IF(D67="","",D67*Setup!$B$7)</f>
        <v/>
      </c>
      <c r="F67" s="4" t="n"/>
    </row>
    <row r="68">
      <c r="A68" s="4" t="n"/>
      <c r="B68" s="4" t="n"/>
      <c r="C68" s="4" t="n"/>
      <c r="D68" s="4" t="n"/>
      <c r="E68" s="9">
        <f>IF(D68="","",D68*Setup!$B$7)</f>
        <v/>
      </c>
      <c r="F68" s="4" t="n"/>
    </row>
    <row r="69">
      <c r="A69" s="4" t="n"/>
      <c r="B69" s="4" t="n"/>
      <c r="C69" s="4" t="n"/>
      <c r="D69" s="4" t="n"/>
      <c r="E69" s="9">
        <f>IF(D69="","",D69*Setup!$B$7)</f>
        <v/>
      </c>
      <c r="F69" s="4" t="n"/>
    </row>
    <row r="70">
      <c r="A70" s="4" t="n"/>
      <c r="B70" s="4" t="n"/>
      <c r="C70" s="4" t="n"/>
      <c r="D70" s="4" t="n"/>
      <c r="E70" s="9">
        <f>IF(D70="","",D70*Setup!$B$7)</f>
        <v/>
      </c>
      <c r="F70" s="4" t="n"/>
    </row>
    <row r="71">
      <c r="A71" s="4" t="n"/>
      <c r="B71" s="4" t="n"/>
      <c r="C71" s="4" t="n"/>
      <c r="D71" s="4" t="n"/>
      <c r="E71" s="9">
        <f>IF(D71="","",D71*Setup!$B$7)</f>
        <v/>
      </c>
      <c r="F71" s="4" t="n"/>
    </row>
    <row r="72">
      <c r="A72" s="4" t="n"/>
      <c r="B72" s="4" t="n"/>
      <c r="C72" s="4" t="n"/>
      <c r="D72" s="4" t="n"/>
      <c r="E72" s="9">
        <f>IF(D72="","",D72*Setup!$B$7)</f>
        <v/>
      </c>
      <c r="F72" s="4" t="n"/>
    </row>
    <row r="73">
      <c r="A73" s="4" t="n"/>
      <c r="B73" s="4" t="n"/>
      <c r="C73" s="4" t="n"/>
      <c r="D73" s="4" t="n"/>
      <c r="E73" s="9">
        <f>IF(D73="","",D73*Setup!$B$7)</f>
        <v/>
      </c>
      <c r="F73" s="4" t="n"/>
    </row>
    <row r="74">
      <c r="A74" s="4" t="n"/>
      <c r="B74" s="4" t="n"/>
      <c r="C74" s="4" t="n"/>
      <c r="D74" s="4" t="n"/>
      <c r="E74" s="9">
        <f>IF(D74="","",D74*Setup!$B$7)</f>
        <v/>
      </c>
      <c r="F74" s="4" t="n"/>
    </row>
    <row r="75">
      <c r="A75" s="4" t="n"/>
      <c r="B75" s="4" t="n"/>
      <c r="C75" s="4" t="n"/>
      <c r="D75" s="4" t="n"/>
      <c r="E75" s="9">
        <f>IF(D75="","",D75*Setup!$B$7)</f>
        <v/>
      </c>
      <c r="F75" s="4" t="n"/>
    </row>
    <row r="76">
      <c r="A76" s="4" t="n"/>
      <c r="B76" s="4" t="n"/>
      <c r="C76" s="4" t="n"/>
      <c r="D76" s="4" t="n"/>
      <c r="E76" s="9">
        <f>IF(D76="","",D76*Setup!$B$7)</f>
        <v/>
      </c>
      <c r="F76" s="4" t="n"/>
    </row>
    <row r="77">
      <c r="A77" s="4" t="n"/>
      <c r="B77" s="4" t="n"/>
      <c r="C77" s="4" t="n"/>
      <c r="D77" s="4" t="n"/>
      <c r="E77" s="9">
        <f>IF(D77="","",D77*Setup!$B$7)</f>
        <v/>
      </c>
      <c r="F77" s="4" t="n"/>
    </row>
    <row r="78">
      <c r="A78" s="4" t="n"/>
      <c r="B78" s="4" t="n"/>
      <c r="C78" s="4" t="n"/>
      <c r="D78" s="4" t="n"/>
      <c r="E78" s="9">
        <f>IF(D78="","",D78*Setup!$B$7)</f>
        <v/>
      </c>
      <c r="F78" s="4" t="n"/>
    </row>
    <row r="79">
      <c r="A79" s="4" t="n"/>
      <c r="B79" s="4" t="n"/>
      <c r="C79" s="4" t="n"/>
      <c r="D79" s="4" t="n"/>
      <c r="E79" s="9">
        <f>IF(D79="","",D79*Setup!$B$7)</f>
        <v/>
      </c>
      <c r="F79" s="4" t="n"/>
    </row>
    <row r="80">
      <c r="A80" s="4" t="n"/>
      <c r="B80" s="4" t="n"/>
      <c r="C80" s="4" t="n"/>
      <c r="D80" s="4" t="n"/>
      <c r="E80" s="9">
        <f>IF(D80="","",D80*Setup!$B$7)</f>
        <v/>
      </c>
      <c r="F80" s="4" t="n"/>
    </row>
    <row r="81">
      <c r="A81" s="4" t="n"/>
      <c r="B81" s="4" t="n"/>
      <c r="C81" s="4" t="n"/>
      <c r="D81" s="4" t="n"/>
      <c r="E81" s="9">
        <f>IF(D81="","",D81*Setup!$B$7)</f>
        <v/>
      </c>
      <c r="F81" s="4" t="n"/>
    </row>
    <row r="82">
      <c r="A82" s="4" t="n"/>
      <c r="B82" s="4" t="n"/>
      <c r="C82" s="4" t="n"/>
      <c r="D82" s="4" t="n"/>
      <c r="E82" s="9">
        <f>IF(D82="","",D82*Setup!$B$7)</f>
        <v/>
      </c>
      <c r="F82" s="4" t="n"/>
    </row>
    <row r="83">
      <c r="A83" s="4" t="n"/>
      <c r="B83" s="4" t="n"/>
      <c r="C83" s="4" t="n"/>
      <c r="D83" s="4" t="n"/>
      <c r="E83" s="9">
        <f>IF(D83="","",D83*Setup!$B$7)</f>
        <v/>
      </c>
      <c r="F83" s="4" t="n"/>
    </row>
    <row r="84">
      <c r="A84" s="4" t="n"/>
      <c r="B84" s="4" t="n"/>
      <c r="C84" s="4" t="n"/>
      <c r="D84" s="4" t="n"/>
      <c r="E84" s="9">
        <f>IF(D84="","",D84*Setup!$B$7)</f>
        <v/>
      </c>
      <c r="F84" s="4" t="n"/>
    </row>
    <row r="85">
      <c r="A85" s="4" t="n"/>
      <c r="B85" s="4" t="n"/>
      <c r="C85" s="4" t="n"/>
      <c r="D85" s="4" t="n"/>
      <c r="E85" s="9">
        <f>IF(D85="","",D85*Setup!$B$7)</f>
        <v/>
      </c>
      <c r="F85" s="4" t="n"/>
    </row>
    <row r="86">
      <c r="A86" s="4" t="n"/>
      <c r="B86" s="4" t="n"/>
      <c r="C86" s="4" t="n"/>
      <c r="D86" s="4" t="n"/>
      <c r="E86" s="9">
        <f>IF(D86="","",D86*Setup!$B$7)</f>
        <v/>
      </c>
      <c r="F86" s="4" t="n"/>
    </row>
    <row r="87">
      <c r="A87" s="4" t="n"/>
      <c r="B87" s="4" t="n"/>
      <c r="C87" s="4" t="n"/>
      <c r="D87" s="4" t="n"/>
      <c r="E87" s="9">
        <f>IF(D87="","",D87*Setup!$B$7)</f>
        <v/>
      </c>
      <c r="F87" s="4" t="n"/>
    </row>
    <row r="88">
      <c r="A88" s="4" t="n"/>
      <c r="B88" s="4" t="n"/>
      <c r="C88" s="4" t="n"/>
      <c r="D88" s="4" t="n"/>
      <c r="E88" s="9">
        <f>IF(D88="","",D88*Setup!$B$7)</f>
        <v/>
      </c>
      <c r="F88" s="4" t="n"/>
    </row>
    <row r="89">
      <c r="A89" s="4" t="n"/>
      <c r="B89" s="4" t="n"/>
      <c r="C89" s="4" t="n"/>
      <c r="D89" s="4" t="n"/>
      <c r="E89" s="9">
        <f>IF(D89="","",D89*Setup!$B$7)</f>
        <v/>
      </c>
      <c r="F89" s="4" t="n"/>
    </row>
    <row r="90">
      <c r="A90" s="4" t="n"/>
      <c r="B90" s="4" t="n"/>
      <c r="C90" s="4" t="n"/>
      <c r="D90" s="4" t="n"/>
      <c r="E90" s="9">
        <f>IF(D90="","",D90*Setup!$B$7)</f>
        <v/>
      </c>
      <c r="F90" s="4" t="n"/>
    </row>
    <row r="91">
      <c r="A91" s="4" t="n"/>
      <c r="B91" s="4" t="n"/>
      <c r="C91" s="4" t="n"/>
      <c r="D91" s="4" t="n"/>
      <c r="E91" s="9">
        <f>IF(D91="","",D91*Setup!$B$7)</f>
        <v/>
      </c>
      <c r="F91" s="4" t="n"/>
    </row>
    <row r="92">
      <c r="A92" s="4" t="n"/>
      <c r="B92" s="4" t="n"/>
      <c r="C92" s="4" t="n"/>
      <c r="D92" s="4" t="n"/>
      <c r="E92" s="9">
        <f>IF(D92="","",D92*Setup!$B$7)</f>
        <v/>
      </c>
      <c r="F92" s="4" t="n"/>
    </row>
    <row r="93">
      <c r="A93" s="4" t="n"/>
      <c r="B93" s="4" t="n"/>
      <c r="C93" s="4" t="n"/>
      <c r="D93" s="4" t="n"/>
      <c r="E93" s="9">
        <f>IF(D93="","",D93*Setup!$B$7)</f>
        <v/>
      </c>
      <c r="F93" s="4" t="n"/>
    </row>
    <row r="94">
      <c r="A94" s="4" t="n"/>
      <c r="B94" s="4" t="n"/>
      <c r="C94" s="4" t="n"/>
      <c r="D94" s="4" t="n"/>
      <c r="E94" s="9">
        <f>IF(D94="","",D94*Setup!$B$7)</f>
        <v/>
      </c>
      <c r="F94" s="4" t="n"/>
    </row>
    <row r="95">
      <c r="A95" s="4" t="n"/>
      <c r="B95" s="4" t="n"/>
      <c r="C95" s="4" t="n"/>
      <c r="D95" s="4" t="n"/>
      <c r="E95" s="9">
        <f>IF(D95="","",D95*Setup!$B$7)</f>
        <v/>
      </c>
      <c r="F95" s="4" t="n"/>
    </row>
    <row r="96">
      <c r="A96" s="4" t="n"/>
      <c r="B96" s="4" t="n"/>
      <c r="C96" s="4" t="n"/>
      <c r="D96" s="4" t="n"/>
      <c r="E96" s="9">
        <f>IF(D96="","",D96*Setup!$B$7)</f>
        <v/>
      </c>
      <c r="F96" s="4" t="n"/>
    </row>
    <row r="97">
      <c r="A97" s="4" t="n"/>
      <c r="B97" s="4" t="n"/>
      <c r="C97" s="4" t="n"/>
      <c r="D97" s="4" t="n"/>
      <c r="E97" s="9">
        <f>IF(D97="","",D97*Setup!$B$7)</f>
        <v/>
      </c>
      <c r="F97" s="4" t="n"/>
    </row>
    <row r="98">
      <c r="A98" s="4" t="n"/>
      <c r="B98" s="4" t="n"/>
      <c r="C98" s="4" t="n"/>
      <c r="D98" s="4" t="n"/>
      <c r="E98" s="9">
        <f>IF(D98="","",D98*Setup!$B$7)</f>
        <v/>
      </c>
      <c r="F98" s="4" t="n"/>
    </row>
    <row r="99">
      <c r="A99" s="4" t="n"/>
      <c r="B99" s="4" t="n"/>
      <c r="C99" s="4" t="n"/>
      <c r="D99" s="4" t="n"/>
      <c r="E99" s="9">
        <f>IF(D99="","",D99*Setup!$B$7)</f>
        <v/>
      </c>
      <c r="F99" s="4" t="n"/>
    </row>
    <row r="100">
      <c r="A100" s="4" t="n"/>
      <c r="B100" s="4" t="n"/>
      <c r="C100" s="4" t="n"/>
      <c r="D100" s="4" t="n"/>
      <c r="E100" s="9">
        <f>IF(D100="","",D100*Setup!$B$7)</f>
        <v/>
      </c>
      <c r="F100" s="4" t="n"/>
    </row>
  </sheetData>
  <mergeCells count="1">
    <mergeCell ref="A1:H1"/>
  </mergeCells>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S52"/>
  <sheetViews>
    <sheetView showGridLines="0" zoomScale="110" workbookViewId="0">
      <pane ySplit="2" topLeftCell="A3" activePane="bottomLeft" state="frozen"/>
      <selection pane="bottomLeft" activeCell="A1" sqref="A1"/>
    </sheetView>
  </sheetViews>
  <sheetFormatPr baseColWidth="8" defaultRowHeight="15"/>
  <cols>
    <col width="14" customWidth="1" min="1" max="1"/>
    <col width="22" customWidth="1" min="2" max="2"/>
    <col width="12" customWidth="1" min="3" max="3"/>
    <col width="14" customWidth="1" min="4" max="4"/>
    <col width="5" customWidth="1" min="5" max="5"/>
    <col width="5" customWidth="1" min="6" max="6"/>
    <col width="5" customWidth="1" min="7" max="7"/>
    <col width="5" customWidth="1" min="8" max="8"/>
    <col width="5" customWidth="1" min="9" max="9"/>
    <col width="5" customWidth="1" min="10" max="10"/>
    <col width="5" customWidth="1" min="11" max="11"/>
    <col width="5" customWidth="1" min="12" max="12"/>
    <col width="5" customWidth="1" min="13" max="13"/>
    <col width="5" customWidth="1" min="14" max="14"/>
    <col width="5" customWidth="1" min="15" max="15"/>
    <col width="5" customWidth="1" min="16" max="16"/>
    <col width="11" customWidth="1" min="17" max="17"/>
    <col width="12" customWidth="1" min="18" max="18"/>
    <col width="14" customWidth="1" min="19" max="19"/>
  </cols>
  <sheetData>
    <row r="1" ht="28" customHeight="1">
      <c r="A1" s="1" t="inlineStr">
        <is>
          <t>Plan de horas (presupuesto) — por recurso y por mes (Dual Moneda)</t>
        </is>
      </c>
      <c r="B1" s="31" t="n"/>
      <c r="C1" s="31" t="n"/>
      <c r="D1" s="31" t="n"/>
      <c r="E1" s="31" t="n"/>
      <c r="F1" s="31" t="n"/>
      <c r="G1" s="31" t="n"/>
      <c r="H1" s="31" t="n"/>
      <c r="I1" s="31" t="n"/>
      <c r="J1" s="31" t="n"/>
      <c r="K1" s="31" t="n"/>
      <c r="L1" s="31" t="n"/>
      <c r="M1" s="31" t="n"/>
      <c r="N1" s="31" t="n"/>
      <c r="O1" s="31" t="n"/>
      <c r="P1" s="31" t="n"/>
      <c r="Q1" s="31" t="n"/>
      <c r="R1" s="31" t="n"/>
      <c r="S1" s="32" t="n"/>
    </row>
    <row r="2">
      <c r="A2" s="8" t="inlineStr">
        <is>
          <t>ID Recurso</t>
        </is>
      </c>
      <c r="B2" s="8" t="inlineStr">
        <is>
          <t>Rol</t>
        </is>
      </c>
      <c r="C2" s="8" t="inlineStr">
        <is>
          <t>Rate USD/Hr</t>
        </is>
      </c>
      <c r="D2" s="8" t="inlineStr">
        <is>
          <t>Rate COP/Hr</t>
        </is>
      </c>
      <c r="E2" s="8" t="inlineStr">
        <is>
          <t>M1</t>
        </is>
      </c>
      <c r="F2" s="8" t="inlineStr">
        <is>
          <t>M2</t>
        </is>
      </c>
      <c r="G2" s="8" t="inlineStr">
        <is>
          <t>M3</t>
        </is>
      </c>
      <c r="H2" s="8" t="inlineStr">
        <is>
          <t>M4</t>
        </is>
      </c>
      <c r="I2" s="8" t="inlineStr">
        <is>
          <t>M5</t>
        </is>
      </c>
      <c r="J2" s="8" t="inlineStr">
        <is>
          <t>M6</t>
        </is>
      </c>
      <c r="K2" s="8" t="inlineStr">
        <is>
          <t>M7</t>
        </is>
      </c>
      <c r="L2" s="8" t="inlineStr">
        <is>
          <t>M8</t>
        </is>
      </c>
      <c r="M2" s="8" t="inlineStr">
        <is>
          <t>M9</t>
        </is>
      </c>
      <c r="N2" s="8" t="inlineStr">
        <is>
          <t>M10</t>
        </is>
      </c>
      <c r="O2" s="8" t="inlineStr">
        <is>
          <t>M11</t>
        </is>
      </c>
      <c r="P2" s="8" t="inlineStr">
        <is>
          <t>M12</t>
        </is>
      </c>
      <c r="Q2" s="8" t="inlineStr">
        <is>
          <t>Total Horas</t>
        </is>
      </c>
      <c r="R2" s="8" t="inlineStr">
        <is>
          <t>Budget USD</t>
        </is>
      </c>
      <c r="S2" s="8" t="inlineStr">
        <is>
          <t>Budget COP</t>
        </is>
      </c>
    </row>
    <row r="3">
      <c r="A3" s="10" t="n"/>
      <c r="B3" s="11">
        <f>IFERROR(VLOOKUP(A3,Recursos!$A$3:$F$100,2,FALSE),"")</f>
        <v/>
      </c>
      <c r="C3" s="11">
        <f>IFERROR(VLOOKUP(A3,Recursos!$A$3:$F$100,4,FALSE),"")</f>
        <v/>
      </c>
      <c r="D3" s="11">
        <f>IFERROR(VLOOKUP(A3,Recursos!$A$3:$F$100,5,FALSE),"")</f>
        <v/>
      </c>
      <c r="E3" s="12" t="n">
        <v>0</v>
      </c>
      <c r="F3" s="12" t="n">
        <v>0</v>
      </c>
      <c r="G3" s="12" t="n">
        <v>0</v>
      </c>
      <c r="H3" s="12" t="n">
        <v>0</v>
      </c>
      <c r="I3" s="12" t="n">
        <v>0</v>
      </c>
      <c r="J3" s="12" t="n">
        <v>0</v>
      </c>
      <c r="K3" s="12" t="n">
        <v>0</v>
      </c>
      <c r="L3" s="12" t="n">
        <v>0</v>
      </c>
      <c r="M3" s="12" t="n">
        <v>0</v>
      </c>
      <c r="N3" s="12" t="n">
        <v>0</v>
      </c>
      <c r="O3" s="12" t="n">
        <v>0</v>
      </c>
      <c r="P3" s="12" t="n">
        <v>0</v>
      </c>
      <c r="Q3" s="13">
        <f>SUM(E3:P3)</f>
        <v/>
      </c>
      <c r="R3" s="11">
        <f>Q3*C3</f>
        <v/>
      </c>
      <c r="S3" s="11">
        <f>R3*Setup!$B$7</f>
        <v/>
      </c>
    </row>
    <row r="4">
      <c r="A4" s="10" t="n"/>
      <c r="B4" s="11">
        <f>IFERROR(VLOOKUP(A4,Recursos!$A$3:$F$100,2,FALSE),"")</f>
        <v/>
      </c>
      <c r="C4" s="11">
        <f>IFERROR(VLOOKUP(A4,Recursos!$A$3:$F$100,4,FALSE),"")</f>
        <v/>
      </c>
      <c r="D4" s="11">
        <f>IFERROR(VLOOKUP(A4,Recursos!$A$3:$F$100,5,FALSE),"")</f>
        <v/>
      </c>
      <c r="E4" s="12" t="n">
        <v>0</v>
      </c>
      <c r="F4" s="12" t="n">
        <v>0</v>
      </c>
      <c r="G4" s="12" t="n">
        <v>0</v>
      </c>
      <c r="H4" s="12" t="n">
        <v>0</v>
      </c>
      <c r="I4" s="12" t="n">
        <v>0</v>
      </c>
      <c r="J4" s="12" t="n">
        <v>0</v>
      </c>
      <c r="K4" s="12" t="n">
        <v>0</v>
      </c>
      <c r="L4" s="12" t="n">
        <v>0</v>
      </c>
      <c r="M4" s="12" t="n">
        <v>0</v>
      </c>
      <c r="N4" s="12" t="n">
        <v>0</v>
      </c>
      <c r="O4" s="12" t="n">
        <v>0</v>
      </c>
      <c r="P4" s="12" t="n">
        <v>0</v>
      </c>
      <c r="Q4" s="13">
        <f>SUM(E4:P4)</f>
        <v/>
      </c>
      <c r="R4" s="11">
        <f>Q4*C4</f>
        <v/>
      </c>
      <c r="S4" s="11">
        <f>R4*Setup!$B$7</f>
        <v/>
      </c>
    </row>
    <row r="5">
      <c r="A5" s="10" t="n"/>
      <c r="B5" s="11">
        <f>IFERROR(VLOOKUP(A5,Recursos!$A$3:$F$100,2,FALSE),"")</f>
        <v/>
      </c>
      <c r="C5" s="11">
        <f>IFERROR(VLOOKUP(A5,Recursos!$A$3:$F$100,4,FALSE),"")</f>
        <v/>
      </c>
      <c r="D5" s="11">
        <f>IFERROR(VLOOKUP(A5,Recursos!$A$3:$F$100,5,FALSE),"")</f>
        <v/>
      </c>
      <c r="E5" s="12" t="n">
        <v>0</v>
      </c>
      <c r="F5" s="12" t="n">
        <v>0</v>
      </c>
      <c r="G5" s="12" t="n">
        <v>0</v>
      </c>
      <c r="H5" s="12" t="n">
        <v>0</v>
      </c>
      <c r="I5" s="12" t="n">
        <v>0</v>
      </c>
      <c r="J5" s="12" t="n">
        <v>0</v>
      </c>
      <c r="K5" s="12" t="n">
        <v>0</v>
      </c>
      <c r="L5" s="12" t="n">
        <v>0</v>
      </c>
      <c r="M5" s="12" t="n">
        <v>0</v>
      </c>
      <c r="N5" s="12" t="n">
        <v>0</v>
      </c>
      <c r="O5" s="12" t="n">
        <v>0</v>
      </c>
      <c r="P5" s="12" t="n">
        <v>0</v>
      </c>
      <c r="Q5" s="13">
        <f>SUM(E5:P5)</f>
        <v/>
      </c>
      <c r="R5" s="11">
        <f>Q5*C5</f>
        <v/>
      </c>
      <c r="S5" s="11">
        <f>R5*Setup!$B$7</f>
        <v/>
      </c>
    </row>
    <row r="6">
      <c r="A6" s="10" t="n"/>
      <c r="B6" s="11">
        <f>IFERROR(VLOOKUP(A6,Recursos!$A$3:$F$100,2,FALSE),"")</f>
        <v/>
      </c>
      <c r="C6" s="11">
        <f>IFERROR(VLOOKUP(A6,Recursos!$A$3:$F$100,4,FALSE),"")</f>
        <v/>
      </c>
      <c r="D6" s="11">
        <f>IFERROR(VLOOKUP(A6,Recursos!$A$3:$F$100,5,FALSE),"")</f>
        <v/>
      </c>
      <c r="E6" s="12" t="n">
        <v>0</v>
      </c>
      <c r="F6" s="12" t="n">
        <v>0</v>
      </c>
      <c r="G6" s="12" t="n">
        <v>0</v>
      </c>
      <c r="H6" s="12" t="n">
        <v>0</v>
      </c>
      <c r="I6" s="12" t="n">
        <v>0</v>
      </c>
      <c r="J6" s="12" t="n">
        <v>0</v>
      </c>
      <c r="K6" s="12" t="n">
        <v>0</v>
      </c>
      <c r="L6" s="12" t="n">
        <v>0</v>
      </c>
      <c r="M6" s="12" t="n">
        <v>0</v>
      </c>
      <c r="N6" s="12" t="n">
        <v>0</v>
      </c>
      <c r="O6" s="12" t="n">
        <v>0</v>
      </c>
      <c r="P6" s="12" t="n">
        <v>0</v>
      </c>
      <c r="Q6" s="13">
        <f>SUM(E6:P6)</f>
        <v/>
      </c>
      <c r="R6" s="11">
        <f>Q6*C6</f>
        <v/>
      </c>
      <c r="S6" s="11">
        <f>R6*Setup!$B$7</f>
        <v/>
      </c>
    </row>
    <row r="7">
      <c r="A7" s="10" t="n"/>
      <c r="B7" s="11">
        <f>IFERROR(VLOOKUP(A7,Recursos!$A$3:$F$100,2,FALSE),"")</f>
        <v/>
      </c>
      <c r="C7" s="11">
        <f>IFERROR(VLOOKUP(A7,Recursos!$A$3:$F$100,4,FALSE),"")</f>
        <v/>
      </c>
      <c r="D7" s="11">
        <f>IFERROR(VLOOKUP(A7,Recursos!$A$3:$F$100,5,FALSE),"")</f>
        <v/>
      </c>
      <c r="E7" s="12" t="n">
        <v>0</v>
      </c>
      <c r="F7" s="12" t="n">
        <v>0</v>
      </c>
      <c r="G7" s="12" t="n">
        <v>0</v>
      </c>
      <c r="H7" s="12" t="n">
        <v>0</v>
      </c>
      <c r="I7" s="12" t="n">
        <v>0</v>
      </c>
      <c r="J7" s="12" t="n">
        <v>0</v>
      </c>
      <c r="K7" s="12" t="n">
        <v>0</v>
      </c>
      <c r="L7" s="12" t="n">
        <v>0</v>
      </c>
      <c r="M7" s="12" t="n">
        <v>0</v>
      </c>
      <c r="N7" s="12" t="n">
        <v>0</v>
      </c>
      <c r="O7" s="12" t="n">
        <v>0</v>
      </c>
      <c r="P7" s="12" t="n">
        <v>0</v>
      </c>
      <c r="Q7" s="13">
        <f>SUM(E7:P7)</f>
        <v/>
      </c>
      <c r="R7" s="11">
        <f>Q7*C7</f>
        <v/>
      </c>
      <c r="S7" s="11">
        <f>R7*Setup!$B$7</f>
        <v/>
      </c>
    </row>
    <row r="8">
      <c r="A8" s="10" t="n"/>
      <c r="B8" s="11">
        <f>IFERROR(VLOOKUP(A8,Recursos!$A$3:$F$100,2,FALSE),"")</f>
        <v/>
      </c>
      <c r="C8" s="11">
        <f>IFERROR(VLOOKUP(A8,Recursos!$A$3:$F$100,4,FALSE),"")</f>
        <v/>
      </c>
      <c r="D8" s="11">
        <f>IFERROR(VLOOKUP(A8,Recursos!$A$3:$F$100,5,FALSE),"")</f>
        <v/>
      </c>
      <c r="E8" s="12" t="n">
        <v>0</v>
      </c>
      <c r="F8" s="12" t="n">
        <v>0</v>
      </c>
      <c r="G8" s="12" t="n">
        <v>0</v>
      </c>
      <c r="H8" s="12" t="n">
        <v>0</v>
      </c>
      <c r="I8" s="12" t="n">
        <v>0</v>
      </c>
      <c r="J8" s="12" t="n">
        <v>0</v>
      </c>
      <c r="K8" s="12" t="n">
        <v>0</v>
      </c>
      <c r="L8" s="12" t="n">
        <v>0</v>
      </c>
      <c r="M8" s="12" t="n">
        <v>0</v>
      </c>
      <c r="N8" s="12" t="n">
        <v>0</v>
      </c>
      <c r="O8" s="12" t="n">
        <v>0</v>
      </c>
      <c r="P8" s="12" t="n">
        <v>0</v>
      </c>
      <c r="Q8" s="13">
        <f>SUM(E8:P8)</f>
        <v/>
      </c>
      <c r="R8" s="11">
        <f>Q8*C8</f>
        <v/>
      </c>
      <c r="S8" s="11">
        <f>R8*Setup!$B$7</f>
        <v/>
      </c>
    </row>
    <row r="9">
      <c r="A9" s="10" t="n"/>
      <c r="B9" s="11">
        <f>IFERROR(VLOOKUP(A9,Recursos!$A$3:$F$100,2,FALSE),"")</f>
        <v/>
      </c>
      <c r="C9" s="11">
        <f>IFERROR(VLOOKUP(A9,Recursos!$A$3:$F$100,4,FALSE),"")</f>
        <v/>
      </c>
      <c r="D9" s="11">
        <f>IFERROR(VLOOKUP(A9,Recursos!$A$3:$F$100,5,FALSE),"")</f>
        <v/>
      </c>
      <c r="E9" s="12" t="n">
        <v>0</v>
      </c>
      <c r="F9" s="12" t="n">
        <v>0</v>
      </c>
      <c r="G9" s="12" t="n">
        <v>0</v>
      </c>
      <c r="H9" s="12" t="n">
        <v>0</v>
      </c>
      <c r="I9" s="12" t="n">
        <v>0</v>
      </c>
      <c r="J9" s="12" t="n">
        <v>0</v>
      </c>
      <c r="K9" s="12" t="n">
        <v>0</v>
      </c>
      <c r="L9" s="12" t="n">
        <v>0</v>
      </c>
      <c r="M9" s="12" t="n">
        <v>0</v>
      </c>
      <c r="N9" s="12" t="n">
        <v>0</v>
      </c>
      <c r="O9" s="12" t="n">
        <v>0</v>
      </c>
      <c r="P9" s="12" t="n">
        <v>0</v>
      </c>
      <c r="Q9" s="13">
        <f>SUM(E9:P9)</f>
        <v/>
      </c>
      <c r="R9" s="11">
        <f>Q9*C9</f>
        <v/>
      </c>
      <c r="S9" s="11">
        <f>R9*Setup!$B$7</f>
        <v/>
      </c>
    </row>
    <row r="10">
      <c r="A10" s="10" t="n"/>
      <c r="B10" s="11">
        <f>IFERROR(VLOOKUP(A10,Recursos!$A$3:$F$100,2,FALSE),"")</f>
        <v/>
      </c>
      <c r="C10" s="11">
        <f>IFERROR(VLOOKUP(A10,Recursos!$A$3:$F$100,4,FALSE),"")</f>
        <v/>
      </c>
      <c r="D10" s="11">
        <f>IFERROR(VLOOKUP(A10,Recursos!$A$3:$F$100,5,FALSE),"")</f>
        <v/>
      </c>
      <c r="E10" s="12" t="n">
        <v>0</v>
      </c>
      <c r="F10" s="12" t="n">
        <v>0</v>
      </c>
      <c r="G10" s="12" t="n">
        <v>0</v>
      </c>
      <c r="H10" s="12" t="n">
        <v>0</v>
      </c>
      <c r="I10" s="12" t="n">
        <v>0</v>
      </c>
      <c r="J10" s="12" t="n">
        <v>0</v>
      </c>
      <c r="K10" s="12" t="n">
        <v>0</v>
      </c>
      <c r="L10" s="12" t="n">
        <v>0</v>
      </c>
      <c r="M10" s="12" t="n">
        <v>0</v>
      </c>
      <c r="N10" s="12" t="n">
        <v>0</v>
      </c>
      <c r="O10" s="12" t="n">
        <v>0</v>
      </c>
      <c r="P10" s="12" t="n">
        <v>0</v>
      </c>
      <c r="Q10" s="13">
        <f>SUM(E10:P10)</f>
        <v/>
      </c>
      <c r="R10" s="11">
        <f>Q10*C10</f>
        <v/>
      </c>
      <c r="S10" s="11">
        <f>R10*Setup!$B$7</f>
        <v/>
      </c>
    </row>
    <row r="11">
      <c r="A11" s="10" t="n"/>
      <c r="B11" s="11">
        <f>IFERROR(VLOOKUP(A11,Recursos!$A$3:$F$100,2,FALSE),"")</f>
        <v/>
      </c>
      <c r="C11" s="11">
        <f>IFERROR(VLOOKUP(A11,Recursos!$A$3:$F$100,4,FALSE),"")</f>
        <v/>
      </c>
      <c r="D11" s="11">
        <f>IFERROR(VLOOKUP(A11,Recursos!$A$3:$F$100,5,FALSE),"")</f>
        <v/>
      </c>
      <c r="E11" s="12" t="n">
        <v>0</v>
      </c>
      <c r="F11" s="12" t="n">
        <v>0</v>
      </c>
      <c r="G11" s="12" t="n">
        <v>0</v>
      </c>
      <c r="H11" s="12" t="n">
        <v>0</v>
      </c>
      <c r="I11" s="12" t="n">
        <v>0</v>
      </c>
      <c r="J11" s="12" t="n">
        <v>0</v>
      </c>
      <c r="K11" s="12" t="n">
        <v>0</v>
      </c>
      <c r="L11" s="12" t="n">
        <v>0</v>
      </c>
      <c r="M11" s="12" t="n">
        <v>0</v>
      </c>
      <c r="N11" s="12" t="n">
        <v>0</v>
      </c>
      <c r="O11" s="12" t="n">
        <v>0</v>
      </c>
      <c r="P11" s="12" t="n">
        <v>0</v>
      </c>
      <c r="Q11" s="13">
        <f>SUM(E11:P11)</f>
        <v/>
      </c>
      <c r="R11" s="11">
        <f>Q11*C11</f>
        <v/>
      </c>
      <c r="S11" s="11">
        <f>R11*Setup!$B$7</f>
        <v/>
      </c>
    </row>
    <row r="12">
      <c r="A12" s="10" t="n"/>
      <c r="B12" s="11">
        <f>IFERROR(VLOOKUP(A12,Recursos!$A$3:$F$100,2,FALSE),"")</f>
        <v/>
      </c>
      <c r="C12" s="11">
        <f>IFERROR(VLOOKUP(A12,Recursos!$A$3:$F$100,4,FALSE),"")</f>
        <v/>
      </c>
      <c r="D12" s="11">
        <f>IFERROR(VLOOKUP(A12,Recursos!$A$3:$F$100,5,FALSE),"")</f>
        <v/>
      </c>
      <c r="E12" s="12" t="n">
        <v>0</v>
      </c>
      <c r="F12" s="12" t="n">
        <v>0</v>
      </c>
      <c r="G12" s="12" t="n">
        <v>0</v>
      </c>
      <c r="H12" s="12" t="n">
        <v>0</v>
      </c>
      <c r="I12" s="12" t="n">
        <v>0</v>
      </c>
      <c r="J12" s="12" t="n">
        <v>0</v>
      </c>
      <c r="K12" s="12" t="n">
        <v>0</v>
      </c>
      <c r="L12" s="12" t="n">
        <v>0</v>
      </c>
      <c r="M12" s="12" t="n">
        <v>0</v>
      </c>
      <c r="N12" s="12" t="n">
        <v>0</v>
      </c>
      <c r="O12" s="12" t="n">
        <v>0</v>
      </c>
      <c r="P12" s="12" t="n">
        <v>0</v>
      </c>
      <c r="Q12" s="13">
        <f>SUM(E12:P12)</f>
        <v/>
      </c>
      <c r="R12" s="11">
        <f>Q12*C12</f>
        <v/>
      </c>
      <c r="S12" s="11">
        <f>R12*Setup!$B$7</f>
        <v/>
      </c>
    </row>
    <row r="13">
      <c r="A13" s="10" t="n"/>
      <c r="B13" s="11">
        <f>IFERROR(VLOOKUP(A13,Recursos!$A$3:$F$100,2,FALSE),"")</f>
        <v/>
      </c>
      <c r="C13" s="11">
        <f>IFERROR(VLOOKUP(A13,Recursos!$A$3:$F$100,4,FALSE),"")</f>
        <v/>
      </c>
      <c r="D13" s="11">
        <f>IFERROR(VLOOKUP(A13,Recursos!$A$3:$F$100,5,FALSE),"")</f>
        <v/>
      </c>
      <c r="E13" s="12" t="n">
        <v>0</v>
      </c>
      <c r="F13" s="12" t="n">
        <v>0</v>
      </c>
      <c r="G13" s="12" t="n">
        <v>0</v>
      </c>
      <c r="H13" s="12" t="n">
        <v>0</v>
      </c>
      <c r="I13" s="12" t="n">
        <v>0</v>
      </c>
      <c r="J13" s="12" t="n">
        <v>0</v>
      </c>
      <c r="K13" s="12" t="n">
        <v>0</v>
      </c>
      <c r="L13" s="12" t="n">
        <v>0</v>
      </c>
      <c r="M13" s="12" t="n">
        <v>0</v>
      </c>
      <c r="N13" s="12" t="n">
        <v>0</v>
      </c>
      <c r="O13" s="12" t="n">
        <v>0</v>
      </c>
      <c r="P13" s="12" t="n">
        <v>0</v>
      </c>
      <c r="Q13" s="13">
        <f>SUM(E13:P13)</f>
        <v/>
      </c>
      <c r="R13" s="11">
        <f>Q13*C13</f>
        <v/>
      </c>
      <c r="S13" s="11">
        <f>R13*Setup!$B$7</f>
        <v/>
      </c>
    </row>
    <row r="14">
      <c r="A14" s="10" t="n"/>
      <c r="B14" s="11">
        <f>IFERROR(VLOOKUP(A14,Recursos!$A$3:$F$100,2,FALSE),"")</f>
        <v/>
      </c>
      <c r="C14" s="11">
        <f>IFERROR(VLOOKUP(A14,Recursos!$A$3:$F$100,4,FALSE),"")</f>
        <v/>
      </c>
      <c r="D14" s="11">
        <f>IFERROR(VLOOKUP(A14,Recursos!$A$3:$F$100,5,FALSE),"")</f>
        <v/>
      </c>
      <c r="E14" s="12" t="n">
        <v>0</v>
      </c>
      <c r="F14" s="12" t="n">
        <v>0</v>
      </c>
      <c r="G14" s="12" t="n">
        <v>0</v>
      </c>
      <c r="H14" s="12" t="n">
        <v>0</v>
      </c>
      <c r="I14" s="12" t="n">
        <v>0</v>
      </c>
      <c r="J14" s="12" t="n">
        <v>0</v>
      </c>
      <c r="K14" s="12" t="n">
        <v>0</v>
      </c>
      <c r="L14" s="12" t="n">
        <v>0</v>
      </c>
      <c r="M14" s="12" t="n">
        <v>0</v>
      </c>
      <c r="N14" s="12" t="n">
        <v>0</v>
      </c>
      <c r="O14" s="12" t="n">
        <v>0</v>
      </c>
      <c r="P14" s="12" t="n">
        <v>0</v>
      </c>
      <c r="Q14" s="13">
        <f>SUM(E14:P14)</f>
        <v/>
      </c>
      <c r="R14" s="11">
        <f>Q14*C14</f>
        <v/>
      </c>
      <c r="S14" s="11">
        <f>R14*Setup!$B$7</f>
        <v/>
      </c>
    </row>
    <row r="15">
      <c r="A15" s="10" t="n"/>
      <c r="B15" s="11">
        <f>IFERROR(VLOOKUP(A15,Recursos!$A$3:$F$100,2,FALSE),"")</f>
        <v/>
      </c>
      <c r="C15" s="11">
        <f>IFERROR(VLOOKUP(A15,Recursos!$A$3:$F$100,4,FALSE),"")</f>
        <v/>
      </c>
      <c r="D15" s="11">
        <f>IFERROR(VLOOKUP(A15,Recursos!$A$3:$F$100,5,FALSE),"")</f>
        <v/>
      </c>
      <c r="E15" s="12" t="n">
        <v>0</v>
      </c>
      <c r="F15" s="12" t="n">
        <v>0</v>
      </c>
      <c r="G15" s="12" t="n">
        <v>0</v>
      </c>
      <c r="H15" s="12" t="n">
        <v>0</v>
      </c>
      <c r="I15" s="12" t="n">
        <v>0</v>
      </c>
      <c r="J15" s="12" t="n">
        <v>0</v>
      </c>
      <c r="K15" s="12" t="n">
        <v>0</v>
      </c>
      <c r="L15" s="12" t="n">
        <v>0</v>
      </c>
      <c r="M15" s="12" t="n">
        <v>0</v>
      </c>
      <c r="N15" s="12" t="n">
        <v>0</v>
      </c>
      <c r="O15" s="12" t="n">
        <v>0</v>
      </c>
      <c r="P15" s="12" t="n">
        <v>0</v>
      </c>
      <c r="Q15" s="13">
        <f>SUM(E15:P15)</f>
        <v/>
      </c>
      <c r="R15" s="11">
        <f>Q15*C15</f>
        <v/>
      </c>
      <c r="S15" s="11">
        <f>R15*Setup!$B$7</f>
        <v/>
      </c>
    </row>
    <row r="16">
      <c r="A16" s="10" t="n"/>
      <c r="B16" s="11">
        <f>IFERROR(VLOOKUP(A16,Recursos!$A$3:$F$100,2,FALSE),"")</f>
        <v/>
      </c>
      <c r="C16" s="11">
        <f>IFERROR(VLOOKUP(A16,Recursos!$A$3:$F$100,4,FALSE),"")</f>
        <v/>
      </c>
      <c r="D16" s="11">
        <f>IFERROR(VLOOKUP(A16,Recursos!$A$3:$F$100,5,FALSE),"")</f>
        <v/>
      </c>
      <c r="E16" s="12" t="n">
        <v>0</v>
      </c>
      <c r="F16" s="12" t="n">
        <v>0</v>
      </c>
      <c r="G16" s="12" t="n">
        <v>0</v>
      </c>
      <c r="H16" s="12" t="n">
        <v>0</v>
      </c>
      <c r="I16" s="12" t="n">
        <v>0</v>
      </c>
      <c r="J16" s="12" t="n">
        <v>0</v>
      </c>
      <c r="K16" s="12" t="n">
        <v>0</v>
      </c>
      <c r="L16" s="12" t="n">
        <v>0</v>
      </c>
      <c r="M16" s="12" t="n">
        <v>0</v>
      </c>
      <c r="N16" s="12" t="n">
        <v>0</v>
      </c>
      <c r="O16" s="12" t="n">
        <v>0</v>
      </c>
      <c r="P16" s="12" t="n">
        <v>0</v>
      </c>
      <c r="Q16" s="13">
        <f>SUM(E16:P16)</f>
        <v/>
      </c>
      <c r="R16" s="11">
        <f>Q16*C16</f>
        <v/>
      </c>
      <c r="S16" s="11">
        <f>R16*Setup!$B$7</f>
        <v/>
      </c>
    </row>
    <row r="17">
      <c r="A17" s="10" t="n"/>
      <c r="B17" s="11">
        <f>IFERROR(VLOOKUP(A17,Recursos!$A$3:$F$100,2,FALSE),"")</f>
        <v/>
      </c>
      <c r="C17" s="11">
        <f>IFERROR(VLOOKUP(A17,Recursos!$A$3:$F$100,4,FALSE),"")</f>
        <v/>
      </c>
      <c r="D17" s="11">
        <f>IFERROR(VLOOKUP(A17,Recursos!$A$3:$F$100,5,FALSE),"")</f>
        <v/>
      </c>
      <c r="E17" s="12" t="n">
        <v>0</v>
      </c>
      <c r="F17" s="12" t="n">
        <v>0</v>
      </c>
      <c r="G17" s="12" t="n">
        <v>0</v>
      </c>
      <c r="H17" s="12" t="n">
        <v>0</v>
      </c>
      <c r="I17" s="12" t="n">
        <v>0</v>
      </c>
      <c r="J17" s="12" t="n">
        <v>0</v>
      </c>
      <c r="K17" s="12" t="n">
        <v>0</v>
      </c>
      <c r="L17" s="12" t="n">
        <v>0</v>
      </c>
      <c r="M17" s="12" t="n">
        <v>0</v>
      </c>
      <c r="N17" s="12" t="n">
        <v>0</v>
      </c>
      <c r="O17" s="12" t="n">
        <v>0</v>
      </c>
      <c r="P17" s="12" t="n">
        <v>0</v>
      </c>
      <c r="Q17" s="13">
        <f>SUM(E17:P17)</f>
        <v/>
      </c>
      <c r="R17" s="11">
        <f>Q17*C17</f>
        <v/>
      </c>
      <c r="S17" s="11">
        <f>R17*Setup!$B$7</f>
        <v/>
      </c>
    </row>
    <row r="18">
      <c r="A18" s="10" t="n"/>
      <c r="B18" s="11">
        <f>IFERROR(VLOOKUP(A18,Recursos!$A$3:$F$100,2,FALSE),"")</f>
        <v/>
      </c>
      <c r="C18" s="11">
        <f>IFERROR(VLOOKUP(A18,Recursos!$A$3:$F$100,4,FALSE),"")</f>
        <v/>
      </c>
      <c r="D18" s="11">
        <f>IFERROR(VLOOKUP(A18,Recursos!$A$3:$F$100,5,FALSE),"")</f>
        <v/>
      </c>
      <c r="E18" s="12" t="n">
        <v>0</v>
      </c>
      <c r="F18" s="12" t="n">
        <v>0</v>
      </c>
      <c r="G18" s="12" t="n">
        <v>0</v>
      </c>
      <c r="H18" s="12" t="n">
        <v>0</v>
      </c>
      <c r="I18" s="12" t="n">
        <v>0</v>
      </c>
      <c r="J18" s="12" t="n">
        <v>0</v>
      </c>
      <c r="K18" s="12" t="n">
        <v>0</v>
      </c>
      <c r="L18" s="12" t="n">
        <v>0</v>
      </c>
      <c r="M18" s="12" t="n">
        <v>0</v>
      </c>
      <c r="N18" s="12" t="n">
        <v>0</v>
      </c>
      <c r="O18" s="12" t="n">
        <v>0</v>
      </c>
      <c r="P18" s="12" t="n">
        <v>0</v>
      </c>
      <c r="Q18" s="13">
        <f>SUM(E18:P18)</f>
        <v/>
      </c>
      <c r="R18" s="11">
        <f>Q18*C18</f>
        <v/>
      </c>
      <c r="S18" s="11">
        <f>R18*Setup!$B$7</f>
        <v/>
      </c>
    </row>
    <row r="19">
      <c r="A19" s="10" t="n"/>
      <c r="B19" s="11">
        <f>IFERROR(VLOOKUP(A19,Recursos!$A$3:$F$100,2,FALSE),"")</f>
        <v/>
      </c>
      <c r="C19" s="11">
        <f>IFERROR(VLOOKUP(A19,Recursos!$A$3:$F$100,4,FALSE),"")</f>
        <v/>
      </c>
      <c r="D19" s="11">
        <f>IFERROR(VLOOKUP(A19,Recursos!$A$3:$F$100,5,FALSE),"")</f>
        <v/>
      </c>
      <c r="E19" s="12" t="n">
        <v>0</v>
      </c>
      <c r="F19" s="12" t="n">
        <v>0</v>
      </c>
      <c r="G19" s="12" t="n">
        <v>0</v>
      </c>
      <c r="H19" s="12" t="n">
        <v>0</v>
      </c>
      <c r="I19" s="12" t="n">
        <v>0</v>
      </c>
      <c r="J19" s="12" t="n">
        <v>0</v>
      </c>
      <c r="K19" s="12" t="n">
        <v>0</v>
      </c>
      <c r="L19" s="12" t="n">
        <v>0</v>
      </c>
      <c r="M19" s="12" t="n">
        <v>0</v>
      </c>
      <c r="N19" s="12" t="n">
        <v>0</v>
      </c>
      <c r="O19" s="12" t="n">
        <v>0</v>
      </c>
      <c r="P19" s="12" t="n">
        <v>0</v>
      </c>
      <c r="Q19" s="13">
        <f>SUM(E19:P19)</f>
        <v/>
      </c>
      <c r="R19" s="11">
        <f>Q19*C19</f>
        <v/>
      </c>
      <c r="S19" s="11">
        <f>R19*Setup!$B$7</f>
        <v/>
      </c>
    </row>
    <row r="20">
      <c r="A20" s="10" t="n"/>
      <c r="B20" s="11">
        <f>IFERROR(VLOOKUP(A20,Recursos!$A$3:$F$100,2,FALSE),"")</f>
        <v/>
      </c>
      <c r="C20" s="11">
        <f>IFERROR(VLOOKUP(A20,Recursos!$A$3:$F$100,4,FALSE),"")</f>
        <v/>
      </c>
      <c r="D20" s="11">
        <f>IFERROR(VLOOKUP(A20,Recursos!$A$3:$F$100,5,FALSE),"")</f>
        <v/>
      </c>
      <c r="E20" s="12" t="n">
        <v>0</v>
      </c>
      <c r="F20" s="12" t="n">
        <v>0</v>
      </c>
      <c r="G20" s="12" t="n">
        <v>0</v>
      </c>
      <c r="H20" s="12" t="n">
        <v>0</v>
      </c>
      <c r="I20" s="12" t="n">
        <v>0</v>
      </c>
      <c r="J20" s="12" t="n">
        <v>0</v>
      </c>
      <c r="K20" s="12" t="n">
        <v>0</v>
      </c>
      <c r="L20" s="12" t="n">
        <v>0</v>
      </c>
      <c r="M20" s="12" t="n">
        <v>0</v>
      </c>
      <c r="N20" s="12" t="n">
        <v>0</v>
      </c>
      <c r="O20" s="12" t="n">
        <v>0</v>
      </c>
      <c r="P20" s="12" t="n">
        <v>0</v>
      </c>
      <c r="Q20" s="13">
        <f>SUM(E20:P20)</f>
        <v/>
      </c>
      <c r="R20" s="11">
        <f>Q20*C20</f>
        <v/>
      </c>
      <c r="S20" s="11">
        <f>R20*Setup!$B$7</f>
        <v/>
      </c>
    </row>
    <row r="21">
      <c r="A21" s="10" t="n"/>
      <c r="B21" s="11">
        <f>IFERROR(VLOOKUP(A21,Recursos!$A$3:$F$100,2,FALSE),"")</f>
        <v/>
      </c>
      <c r="C21" s="11">
        <f>IFERROR(VLOOKUP(A21,Recursos!$A$3:$F$100,4,FALSE),"")</f>
        <v/>
      </c>
      <c r="D21" s="11">
        <f>IFERROR(VLOOKUP(A21,Recursos!$A$3:$F$100,5,FALSE),"")</f>
        <v/>
      </c>
      <c r="E21" s="12" t="n">
        <v>0</v>
      </c>
      <c r="F21" s="12" t="n">
        <v>0</v>
      </c>
      <c r="G21" s="12" t="n">
        <v>0</v>
      </c>
      <c r="H21" s="12" t="n">
        <v>0</v>
      </c>
      <c r="I21" s="12" t="n">
        <v>0</v>
      </c>
      <c r="J21" s="12" t="n">
        <v>0</v>
      </c>
      <c r="K21" s="12" t="n">
        <v>0</v>
      </c>
      <c r="L21" s="12" t="n">
        <v>0</v>
      </c>
      <c r="M21" s="12" t="n">
        <v>0</v>
      </c>
      <c r="N21" s="12" t="n">
        <v>0</v>
      </c>
      <c r="O21" s="12" t="n">
        <v>0</v>
      </c>
      <c r="P21" s="12" t="n">
        <v>0</v>
      </c>
      <c r="Q21" s="13">
        <f>SUM(E21:P21)</f>
        <v/>
      </c>
      <c r="R21" s="11">
        <f>Q21*C21</f>
        <v/>
      </c>
      <c r="S21" s="11">
        <f>R21*Setup!$B$7</f>
        <v/>
      </c>
    </row>
    <row r="22">
      <c r="A22" s="10" t="n"/>
      <c r="B22" s="11">
        <f>IFERROR(VLOOKUP(A22,Recursos!$A$3:$F$100,2,FALSE),"")</f>
        <v/>
      </c>
      <c r="C22" s="11">
        <f>IFERROR(VLOOKUP(A22,Recursos!$A$3:$F$100,4,FALSE),"")</f>
        <v/>
      </c>
      <c r="D22" s="11">
        <f>IFERROR(VLOOKUP(A22,Recursos!$A$3:$F$100,5,FALSE),"")</f>
        <v/>
      </c>
      <c r="E22" s="12" t="n">
        <v>0</v>
      </c>
      <c r="F22" s="12" t="n">
        <v>0</v>
      </c>
      <c r="G22" s="12" t="n">
        <v>0</v>
      </c>
      <c r="H22" s="12" t="n">
        <v>0</v>
      </c>
      <c r="I22" s="12" t="n">
        <v>0</v>
      </c>
      <c r="J22" s="12" t="n">
        <v>0</v>
      </c>
      <c r="K22" s="12" t="n">
        <v>0</v>
      </c>
      <c r="L22" s="12" t="n">
        <v>0</v>
      </c>
      <c r="M22" s="12" t="n">
        <v>0</v>
      </c>
      <c r="N22" s="12" t="n">
        <v>0</v>
      </c>
      <c r="O22" s="12" t="n">
        <v>0</v>
      </c>
      <c r="P22" s="12" t="n">
        <v>0</v>
      </c>
      <c r="Q22" s="13">
        <f>SUM(E22:P22)</f>
        <v/>
      </c>
      <c r="R22" s="11">
        <f>Q22*C22</f>
        <v/>
      </c>
      <c r="S22" s="11">
        <f>R22*Setup!$B$7</f>
        <v/>
      </c>
    </row>
    <row r="23">
      <c r="A23" s="10" t="n"/>
      <c r="B23" s="11">
        <f>IFERROR(VLOOKUP(A23,Recursos!$A$3:$F$100,2,FALSE),"")</f>
        <v/>
      </c>
      <c r="C23" s="11">
        <f>IFERROR(VLOOKUP(A23,Recursos!$A$3:$F$100,4,FALSE),"")</f>
        <v/>
      </c>
      <c r="D23" s="11">
        <f>IFERROR(VLOOKUP(A23,Recursos!$A$3:$F$100,5,FALSE),"")</f>
        <v/>
      </c>
      <c r="E23" s="12" t="n">
        <v>0</v>
      </c>
      <c r="F23" s="12" t="n">
        <v>0</v>
      </c>
      <c r="G23" s="12" t="n">
        <v>0</v>
      </c>
      <c r="H23" s="12" t="n">
        <v>0</v>
      </c>
      <c r="I23" s="12" t="n">
        <v>0</v>
      </c>
      <c r="J23" s="12" t="n">
        <v>0</v>
      </c>
      <c r="K23" s="12" t="n">
        <v>0</v>
      </c>
      <c r="L23" s="12" t="n">
        <v>0</v>
      </c>
      <c r="M23" s="12" t="n">
        <v>0</v>
      </c>
      <c r="N23" s="12" t="n">
        <v>0</v>
      </c>
      <c r="O23" s="12" t="n">
        <v>0</v>
      </c>
      <c r="P23" s="12" t="n">
        <v>0</v>
      </c>
      <c r="Q23" s="13">
        <f>SUM(E23:P23)</f>
        <v/>
      </c>
      <c r="R23" s="11">
        <f>Q23*C23</f>
        <v/>
      </c>
      <c r="S23" s="11">
        <f>R23*Setup!$B$7</f>
        <v/>
      </c>
    </row>
    <row r="24">
      <c r="A24" s="10" t="n"/>
      <c r="B24" s="11">
        <f>IFERROR(VLOOKUP(A24,Recursos!$A$3:$F$100,2,FALSE),"")</f>
        <v/>
      </c>
      <c r="C24" s="11">
        <f>IFERROR(VLOOKUP(A24,Recursos!$A$3:$F$100,4,FALSE),"")</f>
        <v/>
      </c>
      <c r="D24" s="11">
        <f>IFERROR(VLOOKUP(A24,Recursos!$A$3:$F$100,5,FALSE),"")</f>
        <v/>
      </c>
      <c r="E24" s="12" t="n">
        <v>0</v>
      </c>
      <c r="F24" s="12" t="n">
        <v>0</v>
      </c>
      <c r="G24" s="12" t="n">
        <v>0</v>
      </c>
      <c r="H24" s="12" t="n">
        <v>0</v>
      </c>
      <c r="I24" s="12" t="n">
        <v>0</v>
      </c>
      <c r="J24" s="12" t="n">
        <v>0</v>
      </c>
      <c r="K24" s="12" t="n">
        <v>0</v>
      </c>
      <c r="L24" s="12" t="n">
        <v>0</v>
      </c>
      <c r="M24" s="12" t="n">
        <v>0</v>
      </c>
      <c r="N24" s="12" t="n">
        <v>0</v>
      </c>
      <c r="O24" s="12" t="n">
        <v>0</v>
      </c>
      <c r="P24" s="12" t="n">
        <v>0</v>
      </c>
      <c r="Q24" s="13">
        <f>SUM(E24:P24)</f>
        <v/>
      </c>
      <c r="R24" s="11">
        <f>Q24*C24</f>
        <v/>
      </c>
      <c r="S24" s="11">
        <f>R24*Setup!$B$7</f>
        <v/>
      </c>
    </row>
    <row r="25">
      <c r="A25" s="10" t="n"/>
      <c r="B25" s="11">
        <f>IFERROR(VLOOKUP(A25,Recursos!$A$3:$F$100,2,FALSE),"")</f>
        <v/>
      </c>
      <c r="C25" s="11">
        <f>IFERROR(VLOOKUP(A25,Recursos!$A$3:$F$100,4,FALSE),"")</f>
        <v/>
      </c>
      <c r="D25" s="11">
        <f>IFERROR(VLOOKUP(A25,Recursos!$A$3:$F$100,5,FALSE),"")</f>
        <v/>
      </c>
      <c r="E25" s="12" t="n">
        <v>0</v>
      </c>
      <c r="F25" s="12" t="n">
        <v>0</v>
      </c>
      <c r="G25" s="12" t="n">
        <v>0</v>
      </c>
      <c r="H25" s="12" t="n">
        <v>0</v>
      </c>
      <c r="I25" s="12" t="n">
        <v>0</v>
      </c>
      <c r="J25" s="12" t="n">
        <v>0</v>
      </c>
      <c r="K25" s="12" t="n">
        <v>0</v>
      </c>
      <c r="L25" s="12" t="n">
        <v>0</v>
      </c>
      <c r="M25" s="12" t="n">
        <v>0</v>
      </c>
      <c r="N25" s="12" t="n">
        <v>0</v>
      </c>
      <c r="O25" s="12" t="n">
        <v>0</v>
      </c>
      <c r="P25" s="12" t="n">
        <v>0</v>
      </c>
      <c r="Q25" s="13">
        <f>SUM(E25:P25)</f>
        <v/>
      </c>
      <c r="R25" s="11">
        <f>Q25*C25</f>
        <v/>
      </c>
      <c r="S25" s="11">
        <f>R25*Setup!$B$7</f>
        <v/>
      </c>
    </row>
    <row r="26">
      <c r="A26" s="10" t="n"/>
      <c r="B26" s="11">
        <f>IFERROR(VLOOKUP(A26,Recursos!$A$3:$F$100,2,FALSE),"")</f>
        <v/>
      </c>
      <c r="C26" s="11">
        <f>IFERROR(VLOOKUP(A26,Recursos!$A$3:$F$100,4,FALSE),"")</f>
        <v/>
      </c>
      <c r="D26" s="11">
        <f>IFERROR(VLOOKUP(A26,Recursos!$A$3:$F$100,5,FALSE),"")</f>
        <v/>
      </c>
      <c r="E26" s="12" t="n">
        <v>0</v>
      </c>
      <c r="F26" s="12" t="n">
        <v>0</v>
      </c>
      <c r="G26" s="12" t="n">
        <v>0</v>
      </c>
      <c r="H26" s="12" t="n">
        <v>0</v>
      </c>
      <c r="I26" s="12" t="n">
        <v>0</v>
      </c>
      <c r="J26" s="12" t="n">
        <v>0</v>
      </c>
      <c r="K26" s="12" t="n">
        <v>0</v>
      </c>
      <c r="L26" s="12" t="n">
        <v>0</v>
      </c>
      <c r="M26" s="12" t="n">
        <v>0</v>
      </c>
      <c r="N26" s="12" t="n">
        <v>0</v>
      </c>
      <c r="O26" s="12" t="n">
        <v>0</v>
      </c>
      <c r="P26" s="12" t="n">
        <v>0</v>
      </c>
      <c r="Q26" s="13">
        <f>SUM(E26:P26)</f>
        <v/>
      </c>
      <c r="R26" s="11">
        <f>Q26*C26</f>
        <v/>
      </c>
      <c r="S26" s="11">
        <f>R26*Setup!$B$7</f>
        <v/>
      </c>
    </row>
    <row r="27">
      <c r="A27" s="10" t="n"/>
      <c r="B27" s="11">
        <f>IFERROR(VLOOKUP(A27,Recursos!$A$3:$F$100,2,FALSE),"")</f>
        <v/>
      </c>
      <c r="C27" s="11">
        <f>IFERROR(VLOOKUP(A27,Recursos!$A$3:$F$100,4,FALSE),"")</f>
        <v/>
      </c>
      <c r="D27" s="11">
        <f>IFERROR(VLOOKUP(A27,Recursos!$A$3:$F$100,5,FALSE),"")</f>
        <v/>
      </c>
      <c r="E27" s="12" t="n">
        <v>0</v>
      </c>
      <c r="F27" s="12" t="n">
        <v>0</v>
      </c>
      <c r="G27" s="12" t="n">
        <v>0</v>
      </c>
      <c r="H27" s="12" t="n">
        <v>0</v>
      </c>
      <c r="I27" s="12" t="n">
        <v>0</v>
      </c>
      <c r="J27" s="12" t="n">
        <v>0</v>
      </c>
      <c r="K27" s="12" t="n">
        <v>0</v>
      </c>
      <c r="L27" s="12" t="n">
        <v>0</v>
      </c>
      <c r="M27" s="12" t="n">
        <v>0</v>
      </c>
      <c r="N27" s="12" t="n">
        <v>0</v>
      </c>
      <c r="O27" s="12" t="n">
        <v>0</v>
      </c>
      <c r="P27" s="12" t="n">
        <v>0</v>
      </c>
      <c r="Q27" s="13">
        <f>SUM(E27:P27)</f>
        <v/>
      </c>
      <c r="R27" s="11">
        <f>Q27*C27</f>
        <v/>
      </c>
      <c r="S27" s="11">
        <f>R27*Setup!$B$7</f>
        <v/>
      </c>
    </row>
    <row r="28">
      <c r="A28" s="10" t="n"/>
      <c r="B28" s="11">
        <f>IFERROR(VLOOKUP(A28,Recursos!$A$3:$F$100,2,FALSE),"")</f>
        <v/>
      </c>
      <c r="C28" s="11">
        <f>IFERROR(VLOOKUP(A28,Recursos!$A$3:$F$100,4,FALSE),"")</f>
        <v/>
      </c>
      <c r="D28" s="11">
        <f>IFERROR(VLOOKUP(A28,Recursos!$A$3:$F$100,5,FALSE),"")</f>
        <v/>
      </c>
      <c r="E28" s="12" t="n">
        <v>0</v>
      </c>
      <c r="F28" s="12" t="n">
        <v>0</v>
      </c>
      <c r="G28" s="12" t="n">
        <v>0</v>
      </c>
      <c r="H28" s="12" t="n">
        <v>0</v>
      </c>
      <c r="I28" s="12" t="n">
        <v>0</v>
      </c>
      <c r="J28" s="12" t="n">
        <v>0</v>
      </c>
      <c r="K28" s="12" t="n">
        <v>0</v>
      </c>
      <c r="L28" s="12" t="n">
        <v>0</v>
      </c>
      <c r="M28" s="12" t="n">
        <v>0</v>
      </c>
      <c r="N28" s="12" t="n">
        <v>0</v>
      </c>
      <c r="O28" s="12" t="n">
        <v>0</v>
      </c>
      <c r="P28" s="12" t="n">
        <v>0</v>
      </c>
      <c r="Q28" s="13">
        <f>SUM(E28:P28)</f>
        <v/>
      </c>
      <c r="R28" s="11">
        <f>Q28*C28</f>
        <v/>
      </c>
      <c r="S28" s="11">
        <f>R28*Setup!$B$7</f>
        <v/>
      </c>
    </row>
    <row r="29">
      <c r="A29" s="10" t="n"/>
      <c r="B29" s="11">
        <f>IFERROR(VLOOKUP(A29,Recursos!$A$3:$F$100,2,FALSE),"")</f>
        <v/>
      </c>
      <c r="C29" s="11">
        <f>IFERROR(VLOOKUP(A29,Recursos!$A$3:$F$100,4,FALSE),"")</f>
        <v/>
      </c>
      <c r="D29" s="11">
        <f>IFERROR(VLOOKUP(A29,Recursos!$A$3:$F$100,5,FALSE),"")</f>
        <v/>
      </c>
      <c r="E29" s="12" t="n">
        <v>0</v>
      </c>
      <c r="F29" s="12" t="n">
        <v>0</v>
      </c>
      <c r="G29" s="12" t="n">
        <v>0</v>
      </c>
      <c r="H29" s="12" t="n">
        <v>0</v>
      </c>
      <c r="I29" s="12" t="n">
        <v>0</v>
      </c>
      <c r="J29" s="12" t="n">
        <v>0</v>
      </c>
      <c r="K29" s="12" t="n">
        <v>0</v>
      </c>
      <c r="L29" s="12" t="n">
        <v>0</v>
      </c>
      <c r="M29" s="12" t="n">
        <v>0</v>
      </c>
      <c r="N29" s="12" t="n">
        <v>0</v>
      </c>
      <c r="O29" s="12" t="n">
        <v>0</v>
      </c>
      <c r="P29" s="12" t="n">
        <v>0</v>
      </c>
      <c r="Q29" s="13">
        <f>SUM(E29:P29)</f>
        <v/>
      </c>
      <c r="R29" s="11">
        <f>Q29*C29</f>
        <v/>
      </c>
      <c r="S29" s="11">
        <f>R29*Setup!$B$7</f>
        <v/>
      </c>
    </row>
    <row r="30">
      <c r="A30" s="10" t="n"/>
      <c r="B30" s="11">
        <f>IFERROR(VLOOKUP(A30,Recursos!$A$3:$F$100,2,FALSE),"")</f>
        <v/>
      </c>
      <c r="C30" s="11">
        <f>IFERROR(VLOOKUP(A30,Recursos!$A$3:$F$100,4,FALSE),"")</f>
        <v/>
      </c>
      <c r="D30" s="11">
        <f>IFERROR(VLOOKUP(A30,Recursos!$A$3:$F$100,5,FALSE),"")</f>
        <v/>
      </c>
      <c r="E30" s="12" t="n">
        <v>0</v>
      </c>
      <c r="F30" s="12" t="n">
        <v>0</v>
      </c>
      <c r="G30" s="12" t="n">
        <v>0</v>
      </c>
      <c r="H30" s="12" t="n">
        <v>0</v>
      </c>
      <c r="I30" s="12" t="n">
        <v>0</v>
      </c>
      <c r="J30" s="12" t="n">
        <v>0</v>
      </c>
      <c r="K30" s="12" t="n">
        <v>0</v>
      </c>
      <c r="L30" s="12" t="n">
        <v>0</v>
      </c>
      <c r="M30" s="12" t="n">
        <v>0</v>
      </c>
      <c r="N30" s="12" t="n">
        <v>0</v>
      </c>
      <c r="O30" s="12" t="n">
        <v>0</v>
      </c>
      <c r="P30" s="12" t="n">
        <v>0</v>
      </c>
      <c r="Q30" s="13">
        <f>SUM(E30:P30)</f>
        <v/>
      </c>
      <c r="R30" s="11">
        <f>Q30*C30</f>
        <v/>
      </c>
      <c r="S30" s="11">
        <f>R30*Setup!$B$7</f>
        <v/>
      </c>
    </row>
    <row r="31">
      <c r="A31" s="10" t="n"/>
      <c r="B31" s="11">
        <f>IFERROR(VLOOKUP(A31,Recursos!$A$3:$F$100,2,FALSE),"")</f>
        <v/>
      </c>
      <c r="C31" s="11">
        <f>IFERROR(VLOOKUP(A31,Recursos!$A$3:$F$100,4,FALSE),"")</f>
        <v/>
      </c>
      <c r="D31" s="11">
        <f>IFERROR(VLOOKUP(A31,Recursos!$A$3:$F$100,5,FALSE),"")</f>
        <v/>
      </c>
      <c r="E31" s="12" t="n">
        <v>0</v>
      </c>
      <c r="F31" s="12" t="n">
        <v>0</v>
      </c>
      <c r="G31" s="12" t="n">
        <v>0</v>
      </c>
      <c r="H31" s="12" t="n">
        <v>0</v>
      </c>
      <c r="I31" s="12" t="n">
        <v>0</v>
      </c>
      <c r="J31" s="12" t="n">
        <v>0</v>
      </c>
      <c r="K31" s="12" t="n">
        <v>0</v>
      </c>
      <c r="L31" s="12" t="n">
        <v>0</v>
      </c>
      <c r="M31" s="12" t="n">
        <v>0</v>
      </c>
      <c r="N31" s="12" t="n">
        <v>0</v>
      </c>
      <c r="O31" s="12" t="n">
        <v>0</v>
      </c>
      <c r="P31" s="12" t="n">
        <v>0</v>
      </c>
      <c r="Q31" s="13">
        <f>SUM(E31:P31)</f>
        <v/>
      </c>
      <c r="R31" s="11">
        <f>Q31*C31</f>
        <v/>
      </c>
      <c r="S31" s="11">
        <f>R31*Setup!$B$7</f>
        <v/>
      </c>
    </row>
    <row r="32">
      <c r="A32" s="10" t="n"/>
      <c r="B32" s="11">
        <f>IFERROR(VLOOKUP(A32,Recursos!$A$3:$F$100,2,FALSE),"")</f>
        <v/>
      </c>
      <c r="C32" s="11">
        <f>IFERROR(VLOOKUP(A32,Recursos!$A$3:$F$100,4,FALSE),"")</f>
        <v/>
      </c>
      <c r="D32" s="11">
        <f>IFERROR(VLOOKUP(A32,Recursos!$A$3:$F$100,5,FALSE),"")</f>
        <v/>
      </c>
      <c r="E32" s="12" t="n">
        <v>0</v>
      </c>
      <c r="F32" s="12" t="n">
        <v>0</v>
      </c>
      <c r="G32" s="12" t="n">
        <v>0</v>
      </c>
      <c r="H32" s="12" t="n">
        <v>0</v>
      </c>
      <c r="I32" s="12" t="n">
        <v>0</v>
      </c>
      <c r="J32" s="12" t="n">
        <v>0</v>
      </c>
      <c r="K32" s="12" t="n">
        <v>0</v>
      </c>
      <c r="L32" s="12" t="n">
        <v>0</v>
      </c>
      <c r="M32" s="12" t="n">
        <v>0</v>
      </c>
      <c r="N32" s="12" t="n">
        <v>0</v>
      </c>
      <c r="O32" s="12" t="n">
        <v>0</v>
      </c>
      <c r="P32" s="12" t="n">
        <v>0</v>
      </c>
      <c r="Q32" s="13">
        <f>SUM(E32:P32)</f>
        <v/>
      </c>
      <c r="R32" s="11">
        <f>Q32*C32</f>
        <v/>
      </c>
      <c r="S32" s="11">
        <f>R32*Setup!$B$7</f>
        <v/>
      </c>
    </row>
    <row r="33">
      <c r="A33" s="10" t="n"/>
      <c r="B33" s="11">
        <f>IFERROR(VLOOKUP(A33,Recursos!$A$3:$F$100,2,FALSE),"")</f>
        <v/>
      </c>
      <c r="C33" s="11">
        <f>IFERROR(VLOOKUP(A33,Recursos!$A$3:$F$100,4,FALSE),"")</f>
        <v/>
      </c>
      <c r="D33" s="11">
        <f>IFERROR(VLOOKUP(A33,Recursos!$A$3:$F$100,5,FALSE),"")</f>
        <v/>
      </c>
      <c r="E33" s="12" t="n">
        <v>0</v>
      </c>
      <c r="F33" s="12" t="n">
        <v>0</v>
      </c>
      <c r="G33" s="12" t="n">
        <v>0</v>
      </c>
      <c r="H33" s="12" t="n">
        <v>0</v>
      </c>
      <c r="I33" s="12" t="n">
        <v>0</v>
      </c>
      <c r="J33" s="12" t="n">
        <v>0</v>
      </c>
      <c r="K33" s="12" t="n">
        <v>0</v>
      </c>
      <c r="L33" s="12" t="n">
        <v>0</v>
      </c>
      <c r="M33" s="12" t="n">
        <v>0</v>
      </c>
      <c r="N33" s="12" t="n">
        <v>0</v>
      </c>
      <c r="O33" s="12" t="n">
        <v>0</v>
      </c>
      <c r="P33" s="12" t="n">
        <v>0</v>
      </c>
      <c r="Q33" s="13">
        <f>SUM(E33:P33)</f>
        <v/>
      </c>
      <c r="R33" s="11">
        <f>Q33*C33</f>
        <v/>
      </c>
      <c r="S33" s="11">
        <f>R33*Setup!$B$7</f>
        <v/>
      </c>
    </row>
    <row r="34">
      <c r="A34" s="10" t="n"/>
      <c r="B34" s="11">
        <f>IFERROR(VLOOKUP(A34,Recursos!$A$3:$F$100,2,FALSE),"")</f>
        <v/>
      </c>
      <c r="C34" s="11">
        <f>IFERROR(VLOOKUP(A34,Recursos!$A$3:$F$100,4,FALSE),"")</f>
        <v/>
      </c>
      <c r="D34" s="11">
        <f>IFERROR(VLOOKUP(A34,Recursos!$A$3:$F$100,5,FALSE),"")</f>
        <v/>
      </c>
      <c r="E34" s="12" t="n">
        <v>0</v>
      </c>
      <c r="F34" s="12" t="n">
        <v>0</v>
      </c>
      <c r="G34" s="12" t="n">
        <v>0</v>
      </c>
      <c r="H34" s="12" t="n">
        <v>0</v>
      </c>
      <c r="I34" s="12" t="n">
        <v>0</v>
      </c>
      <c r="J34" s="12" t="n">
        <v>0</v>
      </c>
      <c r="K34" s="12" t="n">
        <v>0</v>
      </c>
      <c r="L34" s="12" t="n">
        <v>0</v>
      </c>
      <c r="M34" s="12" t="n">
        <v>0</v>
      </c>
      <c r="N34" s="12" t="n">
        <v>0</v>
      </c>
      <c r="O34" s="12" t="n">
        <v>0</v>
      </c>
      <c r="P34" s="12" t="n">
        <v>0</v>
      </c>
      <c r="Q34" s="13">
        <f>SUM(E34:P34)</f>
        <v/>
      </c>
      <c r="R34" s="11">
        <f>Q34*C34</f>
        <v/>
      </c>
      <c r="S34" s="11">
        <f>R34*Setup!$B$7</f>
        <v/>
      </c>
    </row>
    <row r="35">
      <c r="A35" s="10" t="n"/>
      <c r="B35" s="11">
        <f>IFERROR(VLOOKUP(A35,Recursos!$A$3:$F$100,2,FALSE),"")</f>
        <v/>
      </c>
      <c r="C35" s="11">
        <f>IFERROR(VLOOKUP(A35,Recursos!$A$3:$F$100,4,FALSE),"")</f>
        <v/>
      </c>
      <c r="D35" s="11">
        <f>IFERROR(VLOOKUP(A35,Recursos!$A$3:$F$100,5,FALSE),"")</f>
        <v/>
      </c>
      <c r="E35" s="12" t="n">
        <v>0</v>
      </c>
      <c r="F35" s="12" t="n">
        <v>0</v>
      </c>
      <c r="G35" s="12" t="n">
        <v>0</v>
      </c>
      <c r="H35" s="12" t="n">
        <v>0</v>
      </c>
      <c r="I35" s="12" t="n">
        <v>0</v>
      </c>
      <c r="J35" s="12" t="n">
        <v>0</v>
      </c>
      <c r="K35" s="12" t="n">
        <v>0</v>
      </c>
      <c r="L35" s="12" t="n">
        <v>0</v>
      </c>
      <c r="M35" s="12" t="n">
        <v>0</v>
      </c>
      <c r="N35" s="12" t="n">
        <v>0</v>
      </c>
      <c r="O35" s="12" t="n">
        <v>0</v>
      </c>
      <c r="P35" s="12" t="n">
        <v>0</v>
      </c>
      <c r="Q35" s="13">
        <f>SUM(E35:P35)</f>
        <v/>
      </c>
      <c r="R35" s="11">
        <f>Q35*C35</f>
        <v/>
      </c>
      <c r="S35" s="11">
        <f>R35*Setup!$B$7</f>
        <v/>
      </c>
    </row>
    <row r="36">
      <c r="A36" s="10" t="n"/>
      <c r="B36" s="11">
        <f>IFERROR(VLOOKUP(A36,Recursos!$A$3:$F$100,2,FALSE),"")</f>
        <v/>
      </c>
      <c r="C36" s="11">
        <f>IFERROR(VLOOKUP(A36,Recursos!$A$3:$F$100,4,FALSE),"")</f>
        <v/>
      </c>
      <c r="D36" s="11">
        <f>IFERROR(VLOOKUP(A36,Recursos!$A$3:$F$100,5,FALSE),"")</f>
        <v/>
      </c>
      <c r="E36" s="12" t="n">
        <v>0</v>
      </c>
      <c r="F36" s="12" t="n">
        <v>0</v>
      </c>
      <c r="G36" s="12" t="n">
        <v>0</v>
      </c>
      <c r="H36" s="12" t="n">
        <v>0</v>
      </c>
      <c r="I36" s="12" t="n">
        <v>0</v>
      </c>
      <c r="J36" s="12" t="n">
        <v>0</v>
      </c>
      <c r="K36" s="12" t="n">
        <v>0</v>
      </c>
      <c r="L36" s="12" t="n">
        <v>0</v>
      </c>
      <c r="M36" s="12" t="n">
        <v>0</v>
      </c>
      <c r="N36" s="12" t="n">
        <v>0</v>
      </c>
      <c r="O36" s="12" t="n">
        <v>0</v>
      </c>
      <c r="P36" s="12" t="n">
        <v>0</v>
      </c>
      <c r="Q36" s="13">
        <f>SUM(E36:P36)</f>
        <v/>
      </c>
      <c r="R36" s="11">
        <f>Q36*C36</f>
        <v/>
      </c>
      <c r="S36" s="11">
        <f>R36*Setup!$B$7</f>
        <v/>
      </c>
    </row>
    <row r="37">
      <c r="A37" s="10" t="n"/>
      <c r="B37" s="11">
        <f>IFERROR(VLOOKUP(A37,Recursos!$A$3:$F$100,2,FALSE),"")</f>
        <v/>
      </c>
      <c r="C37" s="11">
        <f>IFERROR(VLOOKUP(A37,Recursos!$A$3:$F$100,4,FALSE),"")</f>
        <v/>
      </c>
      <c r="D37" s="11">
        <f>IFERROR(VLOOKUP(A37,Recursos!$A$3:$F$100,5,FALSE),"")</f>
        <v/>
      </c>
      <c r="E37" s="12" t="n">
        <v>0</v>
      </c>
      <c r="F37" s="12" t="n">
        <v>0</v>
      </c>
      <c r="G37" s="12" t="n">
        <v>0</v>
      </c>
      <c r="H37" s="12" t="n">
        <v>0</v>
      </c>
      <c r="I37" s="12" t="n">
        <v>0</v>
      </c>
      <c r="J37" s="12" t="n">
        <v>0</v>
      </c>
      <c r="K37" s="12" t="n">
        <v>0</v>
      </c>
      <c r="L37" s="12" t="n">
        <v>0</v>
      </c>
      <c r="M37" s="12" t="n">
        <v>0</v>
      </c>
      <c r="N37" s="12" t="n">
        <v>0</v>
      </c>
      <c r="O37" s="12" t="n">
        <v>0</v>
      </c>
      <c r="P37" s="12" t="n">
        <v>0</v>
      </c>
      <c r="Q37" s="13">
        <f>SUM(E37:P37)</f>
        <v/>
      </c>
      <c r="R37" s="11">
        <f>Q37*C37</f>
        <v/>
      </c>
      <c r="S37" s="11">
        <f>R37*Setup!$B$7</f>
        <v/>
      </c>
    </row>
    <row r="38">
      <c r="A38" s="10" t="n"/>
      <c r="B38" s="11">
        <f>IFERROR(VLOOKUP(A38,Recursos!$A$3:$F$100,2,FALSE),"")</f>
        <v/>
      </c>
      <c r="C38" s="11">
        <f>IFERROR(VLOOKUP(A38,Recursos!$A$3:$F$100,4,FALSE),"")</f>
        <v/>
      </c>
      <c r="D38" s="11">
        <f>IFERROR(VLOOKUP(A38,Recursos!$A$3:$F$100,5,FALSE),"")</f>
        <v/>
      </c>
      <c r="E38" s="12" t="n">
        <v>0</v>
      </c>
      <c r="F38" s="12" t="n">
        <v>0</v>
      </c>
      <c r="G38" s="12" t="n">
        <v>0</v>
      </c>
      <c r="H38" s="12" t="n">
        <v>0</v>
      </c>
      <c r="I38" s="12" t="n">
        <v>0</v>
      </c>
      <c r="J38" s="12" t="n">
        <v>0</v>
      </c>
      <c r="K38" s="12" t="n">
        <v>0</v>
      </c>
      <c r="L38" s="12" t="n">
        <v>0</v>
      </c>
      <c r="M38" s="12" t="n">
        <v>0</v>
      </c>
      <c r="N38" s="12" t="n">
        <v>0</v>
      </c>
      <c r="O38" s="12" t="n">
        <v>0</v>
      </c>
      <c r="P38" s="12" t="n">
        <v>0</v>
      </c>
      <c r="Q38" s="13">
        <f>SUM(E38:P38)</f>
        <v/>
      </c>
      <c r="R38" s="11">
        <f>Q38*C38</f>
        <v/>
      </c>
      <c r="S38" s="11">
        <f>R38*Setup!$B$7</f>
        <v/>
      </c>
    </row>
    <row r="39">
      <c r="A39" s="10" t="n"/>
      <c r="B39" s="11">
        <f>IFERROR(VLOOKUP(A39,Recursos!$A$3:$F$100,2,FALSE),"")</f>
        <v/>
      </c>
      <c r="C39" s="11">
        <f>IFERROR(VLOOKUP(A39,Recursos!$A$3:$F$100,4,FALSE),"")</f>
        <v/>
      </c>
      <c r="D39" s="11">
        <f>IFERROR(VLOOKUP(A39,Recursos!$A$3:$F$100,5,FALSE),"")</f>
        <v/>
      </c>
      <c r="E39" s="12" t="n">
        <v>0</v>
      </c>
      <c r="F39" s="12" t="n">
        <v>0</v>
      </c>
      <c r="G39" s="12" t="n">
        <v>0</v>
      </c>
      <c r="H39" s="12" t="n">
        <v>0</v>
      </c>
      <c r="I39" s="12" t="n">
        <v>0</v>
      </c>
      <c r="J39" s="12" t="n">
        <v>0</v>
      </c>
      <c r="K39" s="12" t="n">
        <v>0</v>
      </c>
      <c r="L39" s="12" t="n">
        <v>0</v>
      </c>
      <c r="M39" s="12" t="n">
        <v>0</v>
      </c>
      <c r="N39" s="12" t="n">
        <v>0</v>
      </c>
      <c r="O39" s="12" t="n">
        <v>0</v>
      </c>
      <c r="P39" s="12" t="n">
        <v>0</v>
      </c>
      <c r="Q39" s="13">
        <f>SUM(E39:P39)</f>
        <v/>
      </c>
      <c r="R39" s="11">
        <f>Q39*C39</f>
        <v/>
      </c>
      <c r="S39" s="11">
        <f>R39*Setup!$B$7</f>
        <v/>
      </c>
    </row>
    <row r="40">
      <c r="A40" s="10" t="n"/>
      <c r="B40" s="11">
        <f>IFERROR(VLOOKUP(A40,Recursos!$A$3:$F$100,2,FALSE),"")</f>
        <v/>
      </c>
      <c r="C40" s="11">
        <f>IFERROR(VLOOKUP(A40,Recursos!$A$3:$F$100,4,FALSE),"")</f>
        <v/>
      </c>
      <c r="D40" s="11">
        <f>IFERROR(VLOOKUP(A40,Recursos!$A$3:$F$100,5,FALSE),"")</f>
        <v/>
      </c>
      <c r="E40" s="12" t="n">
        <v>0</v>
      </c>
      <c r="F40" s="12" t="n">
        <v>0</v>
      </c>
      <c r="G40" s="12" t="n">
        <v>0</v>
      </c>
      <c r="H40" s="12" t="n">
        <v>0</v>
      </c>
      <c r="I40" s="12" t="n">
        <v>0</v>
      </c>
      <c r="J40" s="12" t="n">
        <v>0</v>
      </c>
      <c r="K40" s="12" t="n">
        <v>0</v>
      </c>
      <c r="L40" s="12" t="n">
        <v>0</v>
      </c>
      <c r="M40" s="12" t="n">
        <v>0</v>
      </c>
      <c r="N40" s="12" t="n">
        <v>0</v>
      </c>
      <c r="O40" s="12" t="n">
        <v>0</v>
      </c>
      <c r="P40" s="12" t="n">
        <v>0</v>
      </c>
      <c r="Q40" s="13">
        <f>SUM(E40:P40)</f>
        <v/>
      </c>
      <c r="R40" s="11">
        <f>Q40*C40</f>
        <v/>
      </c>
      <c r="S40" s="11">
        <f>R40*Setup!$B$7</f>
        <v/>
      </c>
    </row>
    <row r="41">
      <c r="A41" s="10" t="n"/>
      <c r="B41" s="11">
        <f>IFERROR(VLOOKUP(A41,Recursos!$A$3:$F$100,2,FALSE),"")</f>
        <v/>
      </c>
      <c r="C41" s="11">
        <f>IFERROR(VLOOKUP(A41,Recursos!$A$3:$F$100,4,FALSE),"")</f>
        <v/>
      </c>
      <c r="D41" s="11">
        <f>IFERROR(VLOOKUP(A41,Recursos!$A$3:$F$100,5,FALSE),"")</f>
        <v/>
      </c>
      <c r="E41" s="12" t="n">
        <v>0</v>
      </c>
      <c r="F41" s="12" t="n">
        <v>0</v>
      </c>
      <c r="G41" s="12" t="n">
        <v>0</v>
      </c>
      <c r="H41" s="12" t="n">
        <v>0</v>
      </c>
      <c r="I41" s="12" t="n">
        <v>0</v>
      </c>
      <c r="J41" s="12" t="n">
        <v>0</v>
      </c>
      <c r="K41" s="12" t="n">
        <v>0</v>
      </c>
      <c r="L41" s="12" t="n">
        <v>0</v>
      </c>
      <c r="M41" s="12" t="n">
        <v>0</v>
      </c>
      <c r="N41" s="12" t="n">
        <v>0</v>
      </c>
      <c r="O41" s="12" t="n">
        <v>0</v>
      </c>
      <c r="P41" s="12" t="n">
        <v>0</v>
      </c>
      <c r="Q41" s="13">
        <f>SUM(E41:P41)</f>
        <v/>
      </c>
      <c r="R41" s="11">
        <f>Q41*C41</f>
        <v/>
      </c>
      <c r="S41" s="11">
        <f>R41*Setup!$B$7</f>
        <v/>
      </c>
    </row>
    <row r="42">
      <c r="A42" s="10" t="n"/>
      <c r="B42" s="11">
        <f>IFERROR(VLOOKUP(A42,Recursos!$A$3:$F$100,2,FALSE),"")</f>
        <v/>
      </c>
      <c r="C42" s="11">
        <f>IFERROR(VLOOKUP(A42,Recursos!$A$3:$F$100,4,FALSE),"")</f>
        <v/>
      </c>
      <c r="D42" s="11">
        <f>IFERROR(VLOOKUP(A42,Recursos!$A$3:$F$100,5,FALSE),"")</f>
        <v/>
      </c>
      <c r="E42" s="12" t="n">
        <v>0</v>
      </c>
      <c r="F42" s="12" t="n">
        <v>0</v>
      </c>
      <c r="G42" s="12" t="n">
        <v>0</v>
      </c>
      <c r="H42" s="12" t="n">
        <v>0</v>
      </c>
      <c r="I42" s="12" t="n">
        <v>0</v>
      </c>
      <c r="J42" s="12" t="n">
        <v>0</v>
      </c>
      <c r="K42" s="12" t="n">
        <v>0</v>
      </c>
      <c r="L42" s="12" t="n">
        <v>0</v>
      </c>
      <c r="M42" s="12" t="n">
        <v>0</v>
      </c>
      <c r="N42" s="12" t="n">
        <v>0</v>
      </c>
      <c r="O42" s="12" t="n">
        <v>0</v>
      </c>
      <c r="P42" s="12" t="n">
        <v>0</v>
      </c>
      <c r="Q42" s="13">
        <f>SUM(E42:P42)</f>
        <v/>
      </c>
      <c r="R42" s="11">
        <f>Q42*C42</f>
        <v/>
      </c>
      <c r="S42" s="11">
        <f>R42*Setup!$B$7</f>
        <v/>
      </c>
    </row>
    <row r="43">
      <c r="A43" s="10" t="n"/>
      <c r="B43" s="11">
        <f>IFERROR(VLOOKUP(A43,Recursos!$A$3:$F$100,2,FALSE),"")</f>
        <v/>
      </c>
      <c r="C43" s="11">
        <f>IFERROR(VLOOKUP(A43,Recursos!$A$3:$F$100,4,FALSE),"")</f>
        <v/>
      </c>
      <c r="D43" s="11">
        <f>IFERROR(VLOOKUP(A43,Recursos!$A$3:$F$100,5,FALSE),"")</f>
        <v/>
      </c>
      <c r="E43" s="12" t="n">
        <v>0</v>
      </c>
      <c r="F43" s="12" t="n">
        <v>0</v>
      </c>
      <c r="G43" s="12" t="n">
        <v>0</v>
      </c>
      <c r="H43" s="12" t="n">
        <v>0</v>
      </c>
      <c r="I43" s="12" t="n">
        <v>0</v>
      </c>
      <c r="J43" s="12" t="n">
        <v>0</v>
      </c>
      <c r="K43" s="12" t="n">
        <v>0</v>
      </c>
      <c r="L43" s="12" t="n">
        <v>0</v>
      </c>
      <c r="M43" s="12" t="n">
        <v>0</v>
      </c>
      <c r="N43" s="12" t="n">
        <v>0</v>
      </c>
      <c r="O43" s="12" t="n">
        <v>0</v>
      </c>
      <c r="P43" s="12" t="n">
        <v>0</v>
      </c>
      <c r="Q43" s="13">
        <f>SUM(E43:P43)</f>
        <v/>
      </c>
      <c r="R43" s="11">
        <f>Q43*C43</f>
        <v/>
      </c>
      <c r="S43" s="11">
        <f>R43*Setup!$B$7</f>
        <v/>
      </c>
    </row>
    <row r="44">
      <c r="A44" s="10" t="n"/>
      <c r="B44" s="11">
        <f>IFERROR(VLOOKUP(A44,Recursos!$A$3:$F$100,2,FALSE),"")</f>
        <v/>
      </c>
      <c r="C44" s="11">
        <f>IFERROR(VLOOKUP(A44,Recursos!$A$3:$F$100,4,FALSE),"")</f>
        <v/>
      </c>
      <c r="D44" s="11">
        <f>IFERROR(VLOOKUP(A44,Recursos!$A$3:$F$100,5,FALSE),"")</f>
        <v/>
      </c>
      <c r="E44" s="12" t="n">
        <v>0</v>
      </c>
      <c r="F44" s="12" t="n">
        <v>0</v>
      </c>
      <c r="G44" s="12" t="n">
        <v>0</v>
      </c>
      <c r="H44" s="12" t="n">
        <v>0</v>
      </c>
      <c r="I44" s="12" t="n">
        <v>0</v>
      </c>
      <c r="J44" s="12" t="n">
        <v>0</v>
      </c>
      <c r="K44" s="12" t="n">
        <v>0</v>
      </c>
      <c r="L44" s="12" t="n">
        <v>0</v>
      </c>
      <c r="M44" s="12" t="n">
        <v>0</v>
      </c>
      <c r="N44" s="12" t="n">
        <v>0</v>
      </c>
      <c r="O44" s="12" t="n">
        <v>0</v>
      </c>
      <c r="P44" s="12" t="n">
        <v>0</v>
      </c>
      <c r="Q44" s="13">
        <f>SUM(E44:P44)</f>
        <v/>
      </c>
      <c r="R44" s="11">
        <f>Q44*C44</f>
        <v/>
      </c>
      <c r="S44" s="11">
        <f>R44*Setup!$B$7</f>
        <v/>
      </c>
    </row>
    <row r="45">
      <c r="A45" s="10" t="n"/>
      <c r="B45" s="11">
        <f>IFERROR(VLOOKUP(A45,Recursos!$A$3:$F$100,2,FALSE),"")</f>
        <v/>
      </c>
      <c r="C45" s="11">
        <f>IFERROR(VLOOKUP(A45,Recursos!$A$3:$F$100,4,FALSE),"")</f>
        <v/>
      </c>
      <c r="D45" s="11">
        <f>IFERROR(VLOOKUP(A45,Recursos!$A$3:$F$100,5,FALSE),"")</f>
        <v/>
      </c>
      <c r="E45" s="12" t="n">
        <v>0</v>
      </c>
      <c r="F45" s="12" t="n">
        <v>0</v>
      </c>
      <c r="G45" s="12" t="n">
        <v>0</v>
      </c>
      <c r="H45" s="12" t="n">
        <v>0</v>
      </c>
      <c r="I45" s="12" t="n">
        <v>0</v>
      </c>
      <c r="J45" s="12" t="n">
        <v>0</v>
      </c>
      <c r="K45" s="12" t="n">
        <v>0</v>
      </c>
      <c r="L45" s="12" t="n">
        <v>0</v>
      </c>
      <c r="M45" s="12" t="n">
        <v>0</v>
      </c>
      <c r="N45" s="12" t="n">
        <v>0</v>
      </c>
      <c r="O45" s="12" t="n">
        <v>0</v>
      </c>
      <c r="P45" s="12" t="n">
        <v>0</v>
      </c>
      <c r="Q45" s="13">
        <f>SUM(E45:P45)</f>
        <v/>
      </c>
      <c r="R45" s="11">
        <f>Q45*C45</f>
        <v/>
      </c>
      <c r="S45" s="11">
        <f>R45*Setup!$B$7</f>
        <v/>
      </c>
    </row>
    <row r="46">
      <c r="A46" s="10" t="n"/>
      <c r="B46" s="11">
        <f>IFERROR(VLOOKUP(A46,Recursos!$A$3:$F$100,2,FALSE),"")</f>
        <v/>
      </c>
      <c r="C46" s="11">
        <f>IFERROR(VLOOKUP(A46,Recursos!$A$3:$F$100,4,FALSE),"")</f>
        <v/>
      </c>
      <c r="D46" s="11">
        <f>IFERROR(VLOOKUP(A46,Recursos!$A$3:$F$100,5,FALSE),"")</f>
        <v/>
      </c>
      <c r="E46" s="12" t="n">
        <v>0</v>
      </c>
      <c r="F46" s="12" t="n">
        <v>0</v>
      </c>
      <c r="G46" s="12" t="n">
        <v>0</v>
      </c>
      <c r="H46" s="12" t="n">
        <v>0</v>
      </c>
      <c r="I46" s="12" t="n">
        <v>0</v>
      </c>
      <c r="J46" s="12" t="n">
        <v>0</v>
      </c>
      <c r="K46" s="12" t="n">
        <v>0</v>
      </c>
      <c r="L46" s="12" t="n">
        <v>0</v>
      </c>
      <c r="M46" s="12" t="n">
        <v>0</v>
      </c>
      <c r="N46" s="12" t="n">
        <v>0</v>
      </c>
      <c r="O46" s="12" t="n">
        <v>0</v>
      </c>
      <c r="P46" s="12" t="n">
        <v>0</v>
      </c>
      <c r="Q46" s="13">
        <f>SUM(E46:P46)</f>
        <v/>
      </c>
      <c r="R46" s="11">
        <f>Q46*C46</f>
        <v/>
      </c>
      <c r="S46" s="11">
        <f>R46*Setup!$B$7</f>
        <v/>
      </c>
    </row>
    <row r="47">
      <c r="A47" s="10" t="n"/>
      <c r="B47" s="11">
        <f>IFERROR(VLOOKUP(A47,Recursos!$A$3:$F$100,2,FALSE),"")</f>
        <v/>
      </c>
      <c r="C47" s="11">
        <f>IFERROR(VLOOKUP(A47,Recursos!$A$3:$F$100,4,FALSE),"")</f>
        <v/>
      </c>
      <c r="D47" s="11">
        <f>IFERROR(VLOOKUP(A47,Recursos!$A$3:$F$100,5,FALSE),"")</f>
        <v/>
      </c>
      <c r="E47" s="12" t="n">
        <v>0</v>
      </c>
      <c r="F47" s="12" t="n">
        <v>0</v>
      </c>
      <c r="G47" s="12" t="n">
        <v>0</v>
      </c>
      <c r="H47" s="12" t="n">
        <v>0</v>
      </c>
      <c r="I47" s="12" t="n">
        <v>0</v>
      </c>
      <c r="J47" s="12" t="n">
        <v>0</v>
      </c>
      <c r="K47" s="12" t="n">
        <v>0</v>
      </c>
      <c r="L47" s="12" t="n">
        <v>0</v>
      </c>
      <c r="M47" s="12" t="n">
        <v>0</v>
      </c>
      <c r="N47" s="12" t="n">
        <v>0</v>
      </c>
      <c r="O47" s="12" t="n">
        <v>0</v>
      </c>
      <c r="P47" s="12" t="n">
        <v>0</v>
      </c>
      <c r="Q47" s="13">
        <f>SUM(E47:P47)</f>
        <v/>
      </c>
      <c r="R47" s="11">
        <f>Q47*C47</f>
        <v/>
      </c>
      <c r="S47" s="11">
        <f>R47*Setup!$B$7</f>
        <v/>
      </c>
    </row>
    <row r="48">
      <c r="A48" s="10" t="n"/>
      <c r="B48" s="11">
        <f>IFERROR(VLOOKUP(A48,Recursos!$A$3:$F$100,2,FALSE),"")</f>
        <v/>
      </c>
      <c r="C48" s="11">
        <f>IFERROR(VLOOKUP(A48,Recursos!$A$3:$F$100,4,FALSE),"")</f>
        <v/>
      </c>
      <c r="D48" s="11">
        <f>IFERROR(VLOOKUP(A48,Recursos!$A$3:$F$100,5,FALSE),"")</f>
        <v/>
      </c>
      <c r="E48" s="12" t="n">
        <v>0</v>
      </c>
      <c r="F48" s="12" t="n">
        <v>0</v>
      </c>
      <c r="G48" s="12" t="n">
        <v>0</v>
      </c>
      <c r="H48" s="12" t="n">
        <v>0</v>
      </c>
      <c r="I48" s="12" t="n">
        <v>0</v>
      </c>
      <c r="J48" s="12" t="n">
        <v>0</v>
      </c>
      <c r="K48" s="12" t="n">
        <v>0</v>
      </c>
      <c r="L48" s="12" t="n">
        <v>0</v>
      </c>
      <c r="M48" s="12" t="n">
        <v>0</v>
      </c>
      <c r="N48" s="12" t="n">
        <v>0</v>
      </c>
      <c r="O48" s="12" t="n">
        <v>0</v>
      </c>
      <c r="P48" s="12" t="n">
        <v>0</v>
      </c>
      <c r="Q48" s="13">
        <f>SUM(E48:P48)</f>
        <v/>
      </c>
      <c r="R48" s="11">
        <f>Q48*C48</f>
        <v/>
      </c>
      <c r="S48" s="11">
        <f>R48*Setup!$B$7</f>
        <v/>
      </c>
    </row>
    <row r="49">
      <c r="A49" s="10" t="n"/>
      <c r="B49" s="11">
        <f>IFERROR(VLOOKUP(A49,Recursos!$A$3:$F$100,2,FALSE),"")</f>
        <v/>
      </c>
      <c r="C49" s="11">
        <f>IFERROR(VLOOKUP(A49,Recursos!$A$3:$F$100,4,FALSE),"")</f>
        <v/>
      </c>
      <c r="D49" s="11">
        <f>IFERROR(VLOOKUP(A49,Recursos!$A$3:$F$100,5,FALSE),"")</f>
        <v/>
      </c>
      <c r="E49" s="12" t="n">
        <v>0</v>
      </c>
      <c r="F49" s="12" t="n">
        <v>0</v>
      </c>
      <c r="G49" s="12" t="n">
        <v>0</v>
      </c>
      <c r="H49" s="12" t="n">
        <v>0</v>
      </c>
      <c r="I49" s="12" t="n">
        <v>0</v>
      </c>
      <c r="J49" s="12" t="n">
        <v>0</v>
      </c>
      <c r="K49" s="12" t="n">
        <v>0</v>
      </c>
      <c r="L49" s="12" t="n">
        <v>0</v>
      </c>
      <c r="M49" s="12" t="n">
        <v>0</v>
      </c>
      <c r="N49" s="12" t="n">
        <v>0</v>
      </c>
      <c r="O49" s="12" t="n">
        <v>0</v>
      </c>
      <c r="P49" s="12" t="n">
        <v>0</v>
      </c>
      <c r="Q49" s="13">
        <f>SUM(E49:P49)</f>
        <v/>
      </c>
      <c r="R49" s="11">
        <f>Q49*C49</f>
        <v/>
      </c>
      <c r="S49" s="11">
        <f>R49*Setup!$B$7</f>
        <v/>
      </c>
    </row>
    <row r="50">
      <c r="A50" s="10" t="n"/>
      <c r="B50" s="11">
        <f>IFERROR(VLOOKUP(A50,Recursos!$A$3:$F$100,2,FALSE),"")</f>
        <v/>
      </c>
      <c r="C50" s="11">
        <f>IFERROR(VLOOKUP(A50,Recursos!$A$3:$F$100,4,FALSE),"")</f>
        <v/>
      </c>
      <c r="D50" s="11">
        <f>IFERROR(VLOOKUP(A50,Recursos!$A$3:$F$100,5,FALSE),"")</f>
        <v/>
      </c>
      <c r="E50" s="12" t="n">
        <v>0</v>
      </c>
      <c r="F50" s="12" t="n">
        <v>0</v>
      </c>
      <c r="G50" s="12" t="n">
        <v>0</v>
      </c>
      <c r="H50" s="12" t="n">
        <v>0</v>
      </c>
      <c r="I50" s="12" t="n">
        <v>0</v>
      </c>
      <c r="J50" s="12" t="n">
        <v>0</v>
      </c>
      <c r="K50" s="12" t="n">
        <v>0</v>
      </c>
      <c r="L50" s="12" t="n">
        <v>0</v>
      </c>
      <c r="M50" s="12" t="n">
        <v>0</v>
      </c>
      <c r="N50" s="12" t="n">
        <v>0</v>
      </c>
      <c r="O50" s="12" t="n">
        <v>0</v>
      </c>
      <c r="P50" s="12" t="n">
        <v>0</v>
      </c>
      <c r="Q50" s="13">
        <f>SUM(E50:P50)</f>
        <v/>
      </c>
      <c r="R50" s="11">
        <f>Q50*C50</f>
        <v/>
      </c>
      <c r="S50" s="11">
        <f>R50*Setup!$B$7</f>
        <v/>
      </c>
    </row>
    <row r="51">
      <c r="A51" s="10" t="n"/>
      <c r="B51" s="11">
        <f>IFERROR(VLOOKUP(A51,Recursos!$A$3:$F$100,2,FALSE),"")</f>
        <v/>
      </c>
      <c r="C51" s="11">
        <f>IFERROR(VLOOKUP(A51,Recursos!$A$3:$F$100,4,FALSE),"")</f>
        <v/>
      </c>
      <c r="D51" s="11">
        <f>IFERROR(VLOOKUP(A51,Recursos!$A$3:$F$100,5,FALSE),"")</f>
        <v/>
      </c>
      <c r="E51" s="12" t="n">
        <v>0</v>
      </c>
      <c r="F51" s="12" t="n">
        <v>0</v>
      </c>
      <c r="G51" s="12" t="n">
        <v>0</v>
      </c>
      <c r="H51" s="12" t="n">
        <v>0</v>
      </c>
      <c r="I51" s="12" t="n">
        <v>0</v>
      </c>
      <c r="J51" s="12" t="n">
        <v>0</v>
      </c>
      <c r="K51" s="12" t="n">
        <v>0</v>
      </c>
      <c r="L51" s="12" t="n">
        <v>0</v>
      </c>
      <c r="M51" s="12" t="n">
        <v>0</v>
      </c>
      <c r="N51" s="12" t="n">
        <v>0</v>
      </c>
      <c r="O51" s="12" t="n">
        <v>0</v>
      </c>
      <c r="P51" s="12" t="n">
        <v>0</v>
      </c>
      <c r="Q51" s="13">
        <f>SUM(E51:P51)</f>
        <v/>
      </c>
      <c r="R51" s="11">
        <f>Q51*C51</f>
        <v/>
      </c>
      <c r="S51" s="11">
        <f>R51*Setup!$B$7</f>
        <v/>
      </c>
    </row>
    <row r="52">
      <c r="A52" s="10" t="n"/>
      <c r="B52" s="11">
        <f>IFERROR(VLOOKUP(A52,Recursos!$A$3:$F$100,2,FALSE),"")</f>
        <v/>
      </c>
      <c r="C52" s="11">
        <f>IFERROR(VLOOKUP(A52,Recursos!$A$3:$F$100,4,FALSE),"")</f>
        <v/>
      </c>
      <c r="D52" s="11">
        <f>IFERROR(VLOOKUP(A52,Recursos!$A$3:$F$100,5,FALSE),"")</f>
        <v/>
      </c>
      <c r="E52" s="12" t="n">
        <v>0</v>
      </c>
      <c r="F52" s="12" t="n">
        <v>0</v>
      </c>
      <c r="G52" s="12" t="n">
        <v>0</v>
      </c>
      <c r="H52" s="12" t="n">
        <v>0</v>
      </c>
      <c r="I52" s="12" t="n">
        <v>0</v>
      </c>
      <c r="J52" s="12" t="n">
        <v>0</v>
      </c>
      <c r="K52" s="12" t="n">
        <v>0</v>
      </c>
      <c r="L52" s="12" t="n">
        <v>0</v>
      </c>
      <c r="M52" s="12" t="n">
        <v>0</v>
      </c>
      <c r="N52" s="12" t="n">
        <v>0</v>
      </c>
      <c r="O52" s="12" t="n">
        <v>0</v>
      </c>
      <c r="P52" s="12" t="n">
        <v>0</v>
      </c>
      <c r="Q52" s="13">
        <f>SUM(E52:P52)</f>
        <v/>
      </c>
      <c r="R52" s="11">
        <f>Q52*C52</f>
        <v/>
      </c>
      <c r="S52" s="11">
        <f>R52*Setup!$B$7</f>
        <v/>
      </c>
    </row>
  </sheetData>
  <mergeCells count="1">
    <mergeCell ref="A1:S1"/>
  </mergeCells>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P302"/>
  <sheetViews>
    <sheetView showGridLines="0" zoomScale="110" workbookViewId="0">
      <pane ySplit="2" topLeftCell="A3" activePane="bottomLeft" state="frozen"/>
      <selection pane="bottomLeft" activeCell="A1" sqref="A1"/>
    </sheetView>
  </sheetViews>
  <sheetFormatPr baseColWidth="8" defaultRowHeight="15"/>
  <cols>
    <col width="12" customWidth="1" min="1" max="1"/>
    <col width="12" customWidth="1" min="2" max="2"/>
    <col width="14" customWidth="1" min="3" max="3"/>
    <col width="12" customWidth="1" min="4" max="4"/>
    <col width="20" customWidth="1" min="5" max="5"/>
    <col width="16" customWidth="1" min="6" max="6"/>
    <col width="26" customWidth="1" min="7" max="7"/>
    <col width="8" customWidth="1" min="8" max="8"/>
    <col width="14" customWidth="1" min="9" max="9"/>
    <col width="18" customWidth="1" min="10" max="10"/>
    <col width="14" customWidth="1" min="11" max="11"/>
    <col width="14" customWidth="1" min="12" max="12"/>
    <col width="14" customWidth="1" min="13" max="13"/>
    <col width="14" customWidth="1" min="14" max="14"/>
    <col width="16" customWidth="1" min="15" max="15"/>
    <col width="18" customWidth="1" min="16" max="16"/>
  </cols>
  <sheetData>
    <row r="1" ht="28" customHeight="1">
      <c r="A1" s="1" t="inlineStr">
        <is>
          <t>Registro de gastos (actuales) — USD o COP (dual moneda)</t>
        </is>
      </c>
      <c r="B1" s="31" t="n"/>
      <c r="C1" s="31" t="n"/>
      <c r="D1" s="31" t="n"/>
      <c r="E1" s="31" t="n"/>
      <c r="F1" s="31" t="n"/>
      <c r="G1" s="31" t="n"/>
      <c r="H1" s="31" t="n"/>
      <c r="I1" s="31" t="n"/>
      <c r="J1" s="31" t="n"/>
      <c r="K1" s="31" t="n"/>
      <c r="L1" s="31" t="n"/>
      <c r="M1" s="31" t="n"/>
      <c r="N1" s="31" t="n"/>
      <c r="O1" s="31" t="n"/>
      <c r="P1" s="32" t="n"/>
    </row>
    <row r="2">
      <c r="A2" s="8" t="inlineStr">
        <is>
          <t>Fecha</t>
        </is>
      </c>
      <c r="B2" s="8" t="inlineStr">
        <is>
          <t>Mes (YYYY-MM)</t>
        </is>
      </c>
      <c r="C2" s="8" t="inlineStr">
        <is>
          <t>Moneda (USD/COP)</t>
        </is>
      </c>
      <c r="D2" s="8" t="inlineStr">
        <is>
          <t>ID Recurso</t>
        </is>
      </c>
      <c r="E2" s="8" t="inlineStr">
        <is>
          <t>Rol</t>
        </is>
      </c>
      <c r="F2" s="8" t="inlineStr">
        <is>
          <t>Categoría</t>
        </is>
      </c>
      <c r="G2" s="8" t="inlineStr">
        <is>
          <t>Descripción</t>
        </is>
      </c>
      <c r="H2" s="8" t="inlineStr">
        <is>
          <t>Horas</t>
        </is>
      </c>
      <c r="I2" s="8" t="inlineStr">
        <is>
          <t>Rate (moneda)</t>
        </is>
      </c>
      <c r="J2" s="8" t="inlineStr">
        <is>
          <t>Monto Manual (moneda)</t>
        </is>
      </c>
      <c r="K2" s="8" t="inlineStr">
        <is>
          <t>Monto USD (calc)</t>
        </is>
      </c>
      <c r="L2" s="8" t="inlineStr">
        <is>
          <t>Monto COP (calc)</t>
        </is>
      </c>
      <c r="M2" s="8" t="inlineStr">
        <is>
          <t>Factura/OC</t>
        </is>
      </c>
      <c r="N2" s="8" t="inlineStr">
        <is>
          <t>Aprobado (S/N)</t>
        </is>
      </c>
      <c r="O2" s="8" t="inlineStr">
        <is>
          <t>Responsable</t>
        </is>
      </c>
      <c r="P2" s="8" t="inlineStr">
        <is>
          <t>Notas</t>
        </is>
      </c>
    </row>
    <row r="3">
      <c r="A3" s="10" t="n"/>
      <c r="B3" s="11">
        <f>IF(A3="","",TEXT(A3,"yyyy-mm"))</f>
        <v/>
      </c>
      <c r="C3" s="10" t="inlineStr">
        <is>
          <t>USD</t>
        </is>
      </c>
      <c r="D3" s="10" t="n"/>
      <c r="E3" s="11">
        <f>IFERROR(VLOOKUP(D3,Recursos!$A$3:$F$100,2,FALSE),"")</f>
        <v/>
      </c>
      <c r="F3" s="10" t="n"/>
      <c r="G3" s="10" t="n"/>
      <c r="H3" s="14" t="n">
        <v>0</v>
      </c>
      <c r="I3" s="11">
        <f>IF(F3="Labor",IF(C3="USD",IFERROR(VLOOKUP(D3,Recursos!$A$3:$F$100,4,FALSE),""),IFERROR(VLOOKUP(D3,Recursos!$A$3:$F$100,5,FALSE),"")),"")</f>
        <v/>
      </c>
      <c r="J3" s="10" t="n">
        <v>0</v>
      </c>
      <c r="K3" s="11">
        <f>IF(F3="Labor",IF(C3="USD",H3*I3,(H3*I3)/Setup!$B$7),IF(C3="USD",J3,J3/Setup!$B$7))</f>
        <v/>
      </c>
      <c r="L3" s="11">
        <f>K3*Setup!$B$7</f>
        <v/>
      </c>
      <c r="M3" s="10" t="n"/>
      <c r="N3" s="10" t="inlineStr">
        <is>
          <t>S</t>
        </is>
      </c>
      <c r="O3" s="10" t="n"/>
      <c r="P3" s="10" t="n"/>
    </row>
    <row r="4">
      <c r="A4" s="10" t="n"/>
      <c r="B4" s="11">
        <f>IF(A4="","",TEXT(A4,"yyyy-mm"))</f>
        <v/>
      </c>
      <c r="C4" s="10" t="inlineStr">
        <is>
          <t>USD</t>
        </is>
      </c>
      <c r="D4" s="10" t="n"/>
      <c r="E4" s="11">
        <f>IFERROR(VLOOKUP(D4,Recursos!$A$3:$F$100,2,FALSE),"")</f>
        <v/>
      </c>
      <c r="F4" s="10" t="n"/>
      <c r="G4" s="10" t="n"/>
      <c r="H4" s="14" t="n">
        <v>0</v>
      </c>
      <c r="I4" s="11">
        <f>IF(F4="Labor",IF(C4="USD",IFERROR(VLOOKUP(D4,Recursos!$A$3:$F$100,4,FALSE),""),IFERROR(VLOOKUP(D4,Recursos!$A$3:$F$100,5,FALSE),"")),"")</f>
        <v/>
      </c>
      <c r="J4" s="10" t="n">
        <v>0</v>
      </c>
      <c r="K4" s="11">
        <f>IF(F4="Labor",IF(C4="USD",H4*I4,(H4*I4)/Setup!$B$7),IF(C4="USD",J4,J4/Setup!$B$7))</f>
        <v/>
      </c>
      <c r="L4" s="11">
        <f>K4*Setup!$B$7</f>
        <v/>
      </c>
      <c r="M4" s="10" t="n"/>
      <c r="N4" s="10" t="inlineStr">
        <is>
          <t>S</t>
        </is>
      </c>
      <c r="O4" s="10" t="n"/>
      <c r="P4" s="10" t="n"/>
    </row>
    <row r="5">
      <c r="A5" s="10" t="n"/>
      <c r="B5" s="11">
        <f>IF(A5="","",TEXT(A5,"yyyy-mm"))</f>
        <v/>
      </c>
      <c r="C5" s="10" t="inlineStr">
        <is>
          <t>USD</t>
        </is>
      </c>
      <c r="D5" s="10" t="n"/>
      <c r="E5" s="11">
        <f>IFERROR(VLOOKUP(D5,Recursos!$A$3:$F$100,2,FALSE),"")</f>
        <v/>
      </c>
      <c r="F5" s="10" t="n"/>
      <c r="G5" s="10" t="n"/>
      <c r="H5" s="14" t="n">
        <v>0</v>
      </c>
      <c r="I5" s="11">
        <f>IF(F5="Labor",IF(C5="USD",IFERROR(VLOOKUP(D5,Recursos!$A$3:$F$100,4,FALSE),""),IFERROR(VLOOKUP(D5,Recursos!$A$3:$F$100,5,FALSE),"")),"")</f>
        <v/>
      </c>
      <c r="J5" s="10" t="n">
        <v>0</v>
      </c>
      <c r="K5" s="11">
        <f>IF(F5="Labor",IF(C5="USD",H5*I5,(H5*I5)/Setup!$B$7),IF(C5="USD",J5,J5/Setup!$B$7))</f>
        <v/>
      </c>
      <c r="L5" s="11">
        <f>K5*Setup!$B$7</f>
        <v/>
      </c>
      <c r="M5" s="10" t="n"/>
      <c r="N5" s="10" t="inlineStr">
        <is>
          <t>S</t>
        </is>
      </c>
      <c r="O5" s="10" t="n"/>
      <c r="P5" s="10" t="n"/>
    </row>
    <row r="6">
      <c r="A6" s="10" t="n"/>
      <c r="B6" s="11">
        <f>IF(A6="","",TEXT(A6,"yyyy-mm"))</f>
        <v/>
      </c>
      <c r="C6" s="10" t="inlineStr">
        <is>
          <t>USD</t>
        </is>
      </c>
      <c r="D6" s="10" t="n"/>
      <c r="E6" s="11">
        <f>IFERROR(VLOOKUP(D6,Recursos!$A$3:$F$100,2,FALSE),"")</f>
        <v/>
      </c>
      <c r="F6" s="10" t="n"/>
      <c r="G6" s="10" t="n"/>
      <c r="H6" s="14" t="n">
        <v>0</v>
      </c>
      <c r="I6" s="11">
        <f>IF(F6="Labor",IF(C6="USD",IFERROR(VLOOKUP(D6,Recursos!$A$3:$F$100,4,FALSE),""),IFERROR(VLOOKUP(D6,Recursos!$A$3:$F$100,5,FALSE),"")),"")</f>
        <v/>
      </c>
      <c r="J6" s="10" t="n">
        <v>0</v>
      </c>
      <c r="K6" s="11">
        <f>IF(F6="Labor",IF(C6="USD",H6*I6,(H6*I6)/Setup!$B$7),IF(C6="USD",J6,J6/Setup!$B$7))</f>
        <v/>
      </c>
      <c r="L6" s="11">
        <f>K6*Setup!$B$7</f>
        <v/>
      </c>
      <c r="M6" s="10" t="n"/>
      <c r="N6" s="10" t="inlineStr">
        <is>
          <t>S</t>
        </is>
      </c>
      <c r="O6" s="10" t="n"/>
      <c r="P6" s="10" t="n"/>
    </row>
    <row r="7">
      <c r="A7" s="10" t="n"/>
      <c r="B7" s="11">
        <f>IF(A7="","",TEXT(A7,"yyyy-mm"))</f>
        <v/>
      </c>
      <c r="C7" s="10" t="inlineStr">
        <is>
          <t>USD</t>
        </is>
      </c>
      <c r="D7" s="10" t="n"/>
      <c r="E7" s="11">
        <f>IFERROR(VLOOKUP(D7,Recursos!$A$3:$F$100,2,FALSE),"")</f>
        <v/>
      </c>
      <c r="F7" s="10" t="n"/>
      <c r="G7" s="10" t="n"/>
      <c r="H7" s="14" t="n">
        <v>0</v>
      </c>
      <c r="I7" s="11">
        <f>IF(F7="Labor",IF(C7="USD",IFERROR(VLOOKUP(D7,Recursos!$A$3:$F$100,4,FALSE),""),IFERROR(VLOOKUP(D7,Recursos!$A$3:$F$100,5,FALSE),"")),"")</f>
        <v/>
      </c>
      <c r="J7" s="10" t="n">
        <v>0</v>
      </c>
      <c r="K7" s="11">
        <f>IF(F7="Labor",IF(C7="USD",H7*I7,(H7*I7)/Setup!$B$7),IF(C7="USD",J7,J7/Setup!$B$7))</f>
        <v/>
      </c>
      <c r="L7" s="11">
        <f>K7*Setup!$B$7</f>
        <v/>
      </c>
      <c r="M7" s="10" t="n"/>
      <c r="N7" s="10" t="inlineStr">
        <is>
          <t>S</t>
        </is>
      </c>
      <c r="O7" s="10" t="n"/>
      <c r="P7" s="10" t="n"/>
    </row>
    <row r="8">
      <c r="A8" s="10" t="n"/>
      <c r="B8" s="11">
        <f>IF(A8="","",TEXT(A8,"yyyy-mm"))</f>
        <v/>
      </c>
      <c r="C8" s="10" t="inlineStr">
        <is>
          <t>USD</t>
        </is>
      </c>
      <c r="D8" s="10" t="n"/>
      <c r="E8" s="11">
        <f>IFERROR(VLOOKUP(D8,Recursos!$A$3:$F$100,2,FALSE),"")</f>
        <v/>
      </c>
      <c r="F8" s="10" t="n"/>
      <c r="G8" s="10" t="n"/>
      <c r="H8" s="14" t="n">
        <v>0</v>
      </c>
      <c r="I8" s="11">
        <f>IF(F8="Labor",IF(C8="USD",IFERROR(VLOOKUP(D8,Recursos!$A$3:$F$100,4,FALSE),""),IFERROR(VLOOKUP(D8,Recursos!$A$3:$F$100,5,FALSE),"")),"")</f>
        <v/>
      </c>
      <c r="J8" s="10" t="n">
        <v>0</v>
      </c>
      <c r="K8" s="11">
        <f>IF(F8="Labor",IF(C8="USD",H8*I8,(H8*I8)/Setup!$B$7),IF(C8="USD",J8,J8/Setup!$B$7))</f>
        <v/>
      </c>
      <c r="L8" s="11">
        <f>K8*Setup!$B$7</f>
        <v/>
      </c>
      <c r="M8" s="10" t="n"/>
      <c r="N8" s="10" t="inlineStr">
        <is>
          <t>S</t>
        </is>
      </c>
      <c r="O8" s="10" t="n"/>
      <c r="P8" s="10" t="n"/>
    </row>
    <row r="9">
      <c r="A9" s="10" t="n"/>
      <c r="B9" s="11">
        <f>IF(A9="","",TEXT(A9,"yyyy-mm"))</f>
        <v/>
      </c>
      <c r="C9" s="10" t="inlineStr">
        <is>
          <t>USD</t>
        </is>
      </c>
      <c r="D9" s="10" t="n"/>
      <c r="E9" s="11">
        <f>IFERROR(VLOOKUP(D9,Recursos!$A$3:$F$100,2,FALSE),"")</f>
        <v/>
      </c>
      <c r="F9" s="10" t="n"/>
      <c r="G9" s="10" t="n"/>
      <c r="H9" s="14" t="n">
        <v>0</v>
      </c>
      <c r="I9" s="11">
        <f>IF(F9="Labor",IF(C9="USD",IFERROR(VLOOKUP(D9,Recursos!$A$3:$F$100,4,FALSE),""),IFERROR(VLOOKUP(D9,Recursos!$A$3:$F$100,5,FALSE),"")),"")</f>
        <v/>
      </c>
      <c r="J9" s="10" t="n">
        <v>0</v>
      </c>
      <c r="K9" s="11">
        <f>IF(F9="Labor",IF(C9="USD",H9*I9,(H9*I9)/Setup!$B$7),IF(C9="USD",J9,J9/Setup!$B$7))</f>
        <v/>
      </c>
      <c r="L9" s="11">
        <f>K9*Setup!$B$7</f>
        <v/>
      </c>
      <c r="M9" s="10" t="n"/>
      <c r="N9" s="10" t="inlineStr">
        <is>
          <t>S</t>
        </is>
      </c>
      <c r="O9" s="10" t="n"/>
      <c r="P9" s="10" t="n"/>
    </row>
    <row r="10">
      <c r="A10" s="10" t="n"/>
      <c r="B10" s="11">
        <f>IF(A10="","",TEXT(A10,"yyyy-mm"))</f>
        <v/>
      </c>
      <c r="C10" s="10" t="inlineStr">
        <is>
          <t>USD</t>
        </is>
      </c>
      <c r="D10" s="10" t="n"/>
      <c r="E10" s="11">
        <f>IFERROR(VLOOKUP(D10,Recursos!$A$3:$F$100,2,FALSE),"")</f>
        <v/>
      </c>
      <c r="F10" s="10" t="n"/>
      <c r="G10" s="10" t="n"/>
      <c r="H10" s="14" t="n">
        <v>0</v>
      </c>
      <c r="I10" s="11">
        <f>IF(F10="Labor",IF(C10="USD",IFERROR(VLOOKUP(D10,Recursos!$A$3:$F$100,4,FALSE),""),IFERROR(VLOOKUP(D10,Recursos!$A$3:$F$100,5,FALSE),"")),"")</f>
        <v/>
      </c>
      <c r="J10" s="10" t="n">
        <v>0</v>
      </c>
      <c r="K10" s="11">
        <f>IF(F10="Labor",IF(C10="USD",H10*I10,(H10*I10)/Setup!$B$7),IF(C10="USD",J10,J10/Setup!$B$7))</f>
        <v/>
      </c>
      <c r="L10" s="11">
        <f>K10*Setup!$B$7</f>
        <v/>
      </c>
      <c r="M10" s="10" t="n"/>
      <c r="N10" s="10" t="inlineStr">
        <is>
          <t>S</t>
        </is>
      </c>
      <c r="O10" s="10" t="n"/>
      <c r="P10" s="10" t="n"/>
    </row>
    <row r="11">
      <c r="A11" s="10" t="n"/>
      <c r="B11" s="11">
        <f>IF(A11="","",TEXT(A11,"yyyy-mm"))</f>
        <v/>
      </c>
      <c r="C11" s="10" t="inlineStr">
        <is>
          <t>USD</t>
        </is>
      </c>
      <c r="D11" s="10" t="n"/>
      <c r="E11" s="11">
        <f>IFERROR(VLOOKUP(D11,Recursos!$A$3:$F$100,2,FALSE),"")</f>
        <v/>
      </c>
      <c r="F11" s="10" t="n"/>
      <c r="G11" s="10" t="n"/>
      <c r="H11" s="14" t="n">
        <v>0</v>
      </c>
      <c r="I11" s="11">
        <f>IF(F11="Labor",IF(C11="USD",IFERROR(VLOOKUP(D11,Recursos!$A$3:$F$100,4,FALSE),""),IFERROR(VLOOKUP(D11,Recursos!$A$3:$F$100,5,FALSE),"")),"")</f>
        <v/>
      </c>
      <c r="J11" s="10" t="n">
        <v>0</v>
      </c>
      <c r="K11" s="11">
        <f>IF(F11="Labor",IF(C11="USD",H11*I11,(H11*I11)/Setup!$B$7),IF(C11="USD",J11,J11/Setup!$B$7))</f>
        <v/>
      </c>
      <c r="L11" s="11">
        <f>K11*Setup!$B$7</f>
        <v/>
      </c>
      <c r="M11" s="10" t="n"/>
      <c r="N11" s="10" t="inlineStr">
        <is>
          <t>S</t>
        </is>
      </c>
      <c r="O11" s="10" t="n"/>
      <c r="P11" s="10" t="n"/>
    </row>
    <row r="12">
      <c r="A12" s="10" t="n"/>
      <c r="B12" s="11">
        <f>IF(A12="","",TEXT(A12,"yyyy-mm"))</f>
        <v/>
      </c>
      <c r="C12" s="10" t="inlineStr">
        <is>
          <t>USD</t>
        </is>
      </c>
      <c r="D12" s="10" t="n"/>
      <c r="E12" s="11">
        <f>IFERROR(VLOOKUP(D12,Recursos!$A$3:$F$100,2,FALSE),"")</f>
        <v/>
      </c>
      <c r="F12" s="10" t="n"/>
      <c r="G12" s="10" t="n"/>
      <c r="H12" s="14" t="n">
        <v>0</v>
      </c>
      <c r="I12" s="11">
        <f>IF(F12="Labor",IF(C12="USD",IFERROR(VLOOKUP(D12,Recursos!$A$3:$F$100,4,FALSE),""),IFERROR(VLOOKUP(D12,Recursos!$A$3:$F$100,5,FALSE),"")),"")</f>
        <v/>
      </c>
      <c r="J12" s="10" t="n">
        <v>0</v>
      </c>
      <c r="K12" s="11">
        <f>IF(F12="Labor",IF(C12="USD",H12*I12,(H12*I12)/Setup!$B$7),IF(C12="USD",J12,J12/Setup!$B$7))</f>
        <v/>
      </c>
      <c r="L12" s="11">
        <f>K12*Setup!$B$7</f>
        <v/>
      </c>
      <c r="M12" s="10" t="n"/>
      <c r="N12" s="10" t="inlineStr">
        <is>
          <t>S</t>
        </is>
      </c>
      <c r="O12" s="10" t="n"/>
      <c r="P12" s="10" t="n"/>
    </row>
    <row r="13">
      <c r="A13" s="10" t="n"/>
      <c r="B13" s="11">
        <f>IF(A13="","",TEXT(A13,"yyyy-mm"))</f>
        <v/>
      </c>
      <c r="C13" s="10" t="inlineStr">
        <is>
          <t>USD</t>
        </is>
      </c>
      <c r="D13" s="10" t="n"/>
      <c r="E13" s="11">
        <f>IFERROR(VLOOKUP(D13,Recursos!$A$3:$F$100,2,FALSE),"")</f>
        <v/>
      </c>
      <c r="F13" s="10" t="n"/>
      <c r="G13" s="10" t="n"/>
      <c r="H13" s="14" t="n">
        <v>0</v>
      </c>
      <c r="I13" s="11">
        <f>IF(F13="Labor",IF(C13="USD",IFERROR(VLOOKUP(D13,Recursos!$A$3:$F$100,4,FALSE),""),IFERROR(VLOOKUP(D13,Recursos!$A$3:$F$100,5,FALSE),"")),"")</f>
        <v/>
      </c>
      <c r="J13" s="10" t="n">
        <v>0</v>
      </c>
      <c r="K13" s="11">
        <f>IF(F13="Labor",IF(C13="USD",H13*I13,(H13*I13)/Setup!$B$7),IF(C13="USD",J13,J13/Setup!$B$7))</f>
        <v/>
      </c>
      <c r="L13" s="11">
        <f>K13*Setup!$B$7</f>
        <v/>
      </c>
      <c r="M13" s="10" t="n"/>
      <c r="N13" s="10" t="inlineStr">
        <is>
          <t>S</t>
        </is>
      </c>
      <c r="O13" s="10" t="n"/>
      <c r="P13" s="10" t="n"/>
    </row>
    <row r="14">
      <c r="A14" s="10" t="n"/>
      <c r="B14" s="11">
        <f>IF(A14="","",TEXT(A14,"yyyy-mm"))</f>
        <v/>
      </c>
      <c r="C14" s="10" t="inlineStr">
        <is>
          <t>USD</t>
        </is>
      </c>
      <c r="D14" s="10" t="n"/>
      <c r="E14" s="11">
        <f>IFERROR(VLOOKUP(D14,Recursos!$A$3:$F$100,2,FALSE),"")</f>
        <v/>
      </c>
      <c r="F14" s="10" t="n"/>
      <c r="G14" s="10" t="n"/>
      <c r="H14" s="14" t="n">
        <v>0</v>
      </c>
      <c r="I14" s="11">
        <f>IF(F14="Labor",IF(C14="USD",IFERROR(VLOOKUP(D14,Recursos!$A$3:$F$100,4,FALSE),""),IFERROR(VLOOKUP(D14,Recursos!$A$3:$F$100,5,FALSE),"")),"")</f>
        <v/>
      </c>
      <c r="J14" s="10" t="n">
        <v>0</v>
      </c>
      <c r="K14" s="11">
        <f>IF(F14="Labor",IF(C14="USD",H14*I14,(H14*I14)/Setup!$B$7),IF(C14="USD",J14,J14/Setup!$B$7))</f>
        <v/>
      </c>
      <c r="L14" s="11">
        <f>K14*Setup!$B$7</f>
        <v/>
      </c>
      <c r="M14" s="10" t="n"/>
      <c r="N14" s="10" t="inlineStr">
        <is>
          <t>S</t>
        </is>
      </c>
      <c r="O14" s="10" t="n"/>
      <c r="P14" s="10" t="n"/>
    </row>
    <row r="15">
      <c r="A15" s="10" t="n"/>
      <c r="B15" s="11">
        <f>IF(A15="","",TEXT(A15,"yyyy-mm"))</f>
        <v/>
      </c>
      <c r="C15" s="10" t="inlineStr">
        <is>
          <t>USD</t>
        </is>
      </c>
      <c r="D15" s="10" t="n"/>
      <c r="E15" s="11">
        <f>IFERROR(VLOOKUP(D15,Recursos!$A$3:$F$100,2,FALSE),"")</f>
        <v/>
      </c>
      <c r="F15" s="10" t="n"/>
      <c r="G15" s="10" t="n"/>
      <c r="H15" s="14" t="n">
        <v>0</v>
      </c>
      <c r="I15" s="11">
        <f>IF(F15="Labor",IF(C15="USD",IFERROR(VLOOKUP(D15,Recursos!$A$3:$F$100,4,FALSE),""),IFERROR(VLOOKUP(D15,Recursos!$A$3:$F$100,5,FALSE),"")),"")</f>
        <v/>
      </c>
      <c r="J15" s="10" t="n">
        <v>0</v>
      </c>
      <c r="K15" s="11">
        <f>IF(F15="Labor",IF(C15="USD",H15*I15,(H15*I15)/Setup!$B$7),IF(C15="USD",J15,J15/Setup!$B$7))</f>
        <v/>
      </c>
      <c r="L15" s="11">
        <f>K15*Setup!$B$7</f>
        <v/>
      </c>
      <c r="M15" s="10" t="n"/>
      <c r="N15" s="10" t="inlineStr">
        <is>
          <t>S</t>
        </is>
      </c>
      <c r="O15" s="10" t="n"/>
      <c r="P15" s="10" t="n"/>
    </row>
    <row r="16">
      <c r="A16" s="10" t="n"/>
      <c r="B16" s="11">
        <f>IF(A16="","",TEXT(A16,"yyyy-mm"))</f>
        <v/>
      </c>
      <c r="C16" s="10" t="inlineStr">
        <is>
          <t>USD</t>
        </is>
      </c>
      <c r="D16" s="10" t="n"/>
      <c r="E16" s="11">
        <f>IFERROR(VLOOKUP(D16,Recursos!$A$3:$F$100,2,FALSE),"")</f>
        <v/>
      </c>
      <c r="F16" s="10" t="n"/>
      <c r="G16" s="10" t="n"/>
      <c r="H16" s="14" t="n">
        <v>0</v>
      </c>
      <c r="I16" s="11">
        <f>IF(F16="Labor",IF(C16="USD",IFERROR(VLOOKUP(D16,Recursos!$A$3:$F$100,4,FALSE),""),IFERROR(VLOOKUP(D16,Recursos!$A$3:$F$100,5,FALSE),"")),"")</f>
        <v/>
      </c>
      <c r="J16" s="10" t="n">
        <v>0</v>
      </c>
      <c r="K16" s="11">
        <f>IF(F16="Labor",IF(C16="USD",H16*I16,(H16*I16)/Setup!$B$7),IF(C16="USD",J16,J16/Setup!$B$7))</f>
        <v/>
      </c>
      <c r="L16" s="11">
        <f>K16*Setup!$B$7</f>
        <v/>
      </c>
      <c r="M16" s="10" t="n"/>
      <c r="N16" s="10" t="inlineStr">
        <is>
          <t>S</t>
        </is>
      </c>
      <c r="O16" s="10" t="n"/>
      <c r="P16" s="10" t="n"/>
    </row>
    <row r="17">
      <c r="A17" s="10" t="n"/>
      <c r="B17" s="11">
        <f>IF(A17="","",TEXT(A17,"yyyy-mm"))</f>
        <v/>
      </c>
      <c r="C17" s="10" t="inlineStr">
        <is>
          <t>USD</t>
        </is>
      </c>
      <c r="D17" s="10" t="n"/>
      <c r="E17" s="11">
        <f>IFERROR(VLOOKUP(D17,Recursos!$A$3:$F$100,2,FALSE),"")</f>
        <v/>
      </c>
      <c r="F17" s="10" t="n"/>
      <c r="G17" s="10" t="n"/>
      <c r="H17" s="14" t="n">
        <v>0</v>
      </c>
      <c r="I17" s="11">
        <f>IF(F17="Labor",IF(C17="USD",IFERROR(VLOOKUP(D17,Recursos!$A$3:$F$100,4,FALSE),""),IFERROR(VLOOKUP(D17,Recursos!$A$3:$F$100,5,FALSE),"")),"")</f>
        <v/>
      </c>
      <c r="J17" s="10" t="n">
        <v>0</v>
      </c>
      <c r="K17" s="11">
        <f>IF(F17="Labor",IF(C17="USD",H17*I17,(H17*I17)/Setup!$B$7),IF(C17="USD",J17,J17/Setup!$B$7))</f>
        <v/>
      </c>
      <c r="L17" s="11">
        <f>K17*Setup!$B$7</f>
        <v/>
      </c>
      <c r="M17" s="10" t="n"/>
      <c r="N17" s="10" t="inlineStr">
        <is>
          <t>S</t>
        </is>
      </c>
      <c r="O17" s="10" t="n"/>
      <c r="P17" s="10" t="n"/>
    </row>
    <row r="18">
      <c r="A18" s="10" t="n"/>
      <c r="B18" s="11">
        <f>IF(A18="","",TEXT(A18,"yyyy-mm"))</f>
        <v/>
      </c>
      <c r="C18" s="10" t="inlineStr">
        <is>
          <t>USD</t>
        </is>
      </c>
      <c r="D18" s="10" t="n"/>
      <c r="E18" s="11">
        <f>IFERROR(VLOOKUP(D18,Recursos!$A$3:$F$100,2,FALSE),"")</f>
        <v/>
      </c>
      <c r="F18" s="10" t="n"/>
      <c r="G18" s="10" t="n"/>
      <c r="H18" s="14" t="n">
        <v>0</v>
      </c>
      <c r="I18" s="11">
        <f>IF(F18="Labor",IF(C18="USD",IFERROR(VLOOKUP(D18,Recursos!$A$3:$F$100,4,FALSE),""),IFERROR(VLOOKUP(D18,Recursos!$A$3:$F$100,5,FALSE),"")),"")</f>
        <v/>
      </c>
      <c r="J18" s="10" t="n">
        <v>0</v>
      </c>
      <c r="K18" s="11">
        <f>IF(F18="Labor",IF(C18="USD",H18*I18,(H18*I18)/Setup!$B$7),IF(C18="USD",J18,J18/Setup!$B$7))</f>
        <v/>
      </c>
      <c r="L18" s="11">
        <f>K18*Setup!$B$7</f>
        <v/>
      </c>
      <c r="M18" s="10" t="n"/>
      <c r="N18" s="10" t="inlineStr">
        <is>
          <t>S</t>
        </is>
      </c>
      <c r="O18" s="10" t="n"/>
      <c r="P18" s="10" t="n"/>
    </row>
    <row r="19">
      <c r="A19" s="10" t="n"/>
      <c r="B19" s="11">
        <f>IF(A19="","",TEXT(A19,"yyyy-mm"))</f>
        <v/>
      </c>
      <c r="C19" s="10" t="inlineStr">
        <is>
          <t>USD</t>
        </is>
      </c>
      <c r="D19" s="10" t="n"/>
      <c r="E19" s="11">
        <f>IFERROR(VLOOKUP(D19,Recursos!$A$3:$F$100,2,FALSE),"")</f>
        <v/>
      </c>
      <c r="F19" s="10" t="n"/>
      <c r="G19" s="10" t="n"/>
      <c r="H19" s="14" t="n">
        <v>0</v>
      </c>
      <c r="I19" s="11">
        <f>IF(F19="Labor",IF(C19="USD",IFERROR(VLOOKUP(D19,Recursos!$A$3:$F$100,4,FALSE),""),IFERROR(VLOOKUP(D19,Recursos!$A$3:$F$100,5,FALSE),"")),"")</f>
        <v/>
      </c>
      <c r="J19" s="10" t="n">
        <v>0</v>
      </c>
      <c r="K19" s="11">
        <f>IF(F19="Labor",IF(C19="USD",H19*I19,(H19*I19)/Setup!$B$7),IF(C19="USD",J19,J19/Setup!$B$7))</f>
        <v/>
      </c>
      <c r="L19" s="11">
        <f>K19*Setup!$B$7</f>
        <v/>
      </c>
      <c r="M19" s="10" t="n"/>
      <c r="N19" s="10" t="inlineStr">
        <is>
          <t>S</t>
        </is>
      </c>
      <c r="O19" s="10" t="n"/>
      <c r="P19" s="10" t="n"/>
    </row>
    <row r="20">
      <c r="A20" s="10" t="n"/>
      <c r="B20" s="11">
        <f>IF(A20="","",TEXT(A20,"yyyy-mm"))</f>
        <v/>
      </c>
      <c r="C20" s="10" t="inlineStr">
        <is>
          <t>USD</t>
        </is>
      </c>
      <c r="D20" s="10" t="n"/>
      <c r="E20" s="11">
        <f>IFERROR(VLOOKUP(D20,Recursos!$A$3:$F$100,2,FALSE),"")</f>
        <v/>
      </c>
      <c r="F20" s="10" t="n"/>
      <c r="G20" s="10" t="n"/>
      <c r="H20" s="14" t="n">
        <v>0</v>
      </c>
      <c r="I20" s="11">
        <f>IF(F20="Labor",IF(C20="USD",IFERROR(VLOOKUP(D20,Recursos!$A$3:$F$100,4,FALSE),""),IFERROR(VLOOKUP(D20,Recursos!$A$3:$F$100,5,FALSE),"")),"")</f>
        <v/>
      </c>
      <c r="J20" s="10" t="n">
        <v>0</v>
      </c>
      <c r="K20" s="11">
        <f>IF(F20="Labor",IF(C20="USD",H20*I20,(H20*I20)/Setup!$B$7),IF(C20="USD",J20,J20/Setup!$B$7))</f>
        <v/>
      </c>
      <c r="L20" s="11">
        <f>K20*Setup!$B$7</f>
        <v/>
      </c>
      <c r="M20" s="10" t="n"/>
      <c r="N20" s="10" t="inlineStr">
        <is>
          <t>S</t>
        </is>
      </c>
      <c r="O20" s="10" t="n"/>
      <c r="P20" s="10" t="n"/>
    </row>
    <row r="21">
      <c r="A21" s="10" t="n"/>
      <c r="B21" s="11">
        <f>IF(A21="","",TEXT(A21,"yyyy-mm"))</f>
        <v/>
      </c>
      <c r="C21" s="10" t="inlineStr">
        <is>
          <t>USD</t>
        </is>
      </c>
      <c r="D21" s="10" t="n"/>
      <c r="E21" s="11">
        <f>IFERROR(VLOOKUP(D21,Recursos!$A$3:$F$100,2,FALSE),"")</f>
        <v/>
      </c>
      <c r="F21" s="10" t="n"/>
      <c r="G21" s="10" t="n"/>
      <c r="H21" s="14" t="n">
        <v>0</v>
      </c>
      <c r="I21" s="11">
        <f>IF(F21="Labor",IF(C21="USD",IFERROR(VLOOKUP(D21,Recursos!$A$3:$F$100,4,FALSE),""),IFERROR(VLOOKUP(D21,Recursos!$A$3:$F$100,5,FALSE),"")),"")</f>
        <v/>
      </c>
      <c r="J21" s="10" t="n">
        <v>0</v>
      </c>
      <c r="K21" s="11">
        <f>IF(F21="Labor",IF(C21="USD",H21*I21,(H21*I21)/Setup!$B$7),IF(C21="USD",J21,J21/Setup!$B$7))</f>
        <v/>
      </c>
      <c r="L21" s="11">
        <f>K21*Setup!$B$7</f>
        <v/>
      </c>
      <c r="M21" s="10" t="n"/>
      <c r="N21" s="10" t="inlineStr">
        <is>
          <t>S</t>
        </is>
      </c>
      <c r="O21" s="10" t="n"/>
      <c r="P21" s="10" t="n"/>
    </row>
    <row r="22">
      <c r="A22" s="10" t="n"/>
      <c r="B22" s="11">
        <f>IF(A22="","",TEXT(A22,"yyyy-mm"))</f>
        <v/>
      </c>
      <c r="C22" s="10" t="inlineStr">
        <is>
          <t>USD</t>
        </is>
      </c>
      <c r="D22" s="10" t="n"/>
      <c r="E22" s="11">
        <f>IFERROR(VLOOKUP(D22,Recursos!$A$3:$F$100,2,FALSE),"")</f>
        <v/>
      </c>
      <c r="F22" s="10" t="n"/>
      <c r="G22" s="10" t="n"/>
      <c r="H22" s="14" t="n">
        <v>0</v>
      </c>
      <c r="I22" s="11">
        <f>IF(F22="Labor",IF(C22="USD",IFERROR(VLOOKUP(D22,Recursos!$A$3:$F$100,4,FALSE),""),IFERROR(VLOOKUP(D22,Recursos!$A$3:$F$100,5,FALSE),"")),"")</f>
        <v/>
      </c>
      <c r="J22" s="10" t="n">
        <v>0</v>
      </c>
      <c r="K22" s="11">
        <f>IF(F22="Labor",IF(C22="USD",H22*I22,(H22*I22)/Setup!$B$7),IF(C22="USD",J22,J22/Setup!$B$7))</f>
        <v/>
      </c>
      <c r="L22" s="11">
        <f>K22*Setup!$B$7</f>
        <v/>
      </c>
      <c r="M22" s="10" t="n"/>
      <c r="N22" s="10" t="inlineStr">
        <is>
          <t>S</t>
        </is>
      </c>
      <c r="O22" s="10" t="n"/>
      <c r="P22" s="10" t="n"/>
    </row>
    <row r="23">
      <c r="A23" s="10" t="n"/>
      <c r="B23" s="11">
        <f>IF(A23="","",TEXT(A23,"yyyy-mm"))</f>
        <v/>
      </c>
      <c r="C23" s="10" t="inlineStr">
        <is>
          <t>USD</t>
        </is>
      </c>
      <c r="D23" s="10" t="n"/>
      <c r="E23" s="11">
        <f>IFERROR(VLOOKUP(D23,Recursos!$A$3:$F$100,2,FALSE),"")</f>
        <v/>
      </c>
      <c r="F23" s="10" t="n"/>
      <c r="G23" s="10" t="n"/>
      <c r="H23" s="14" t="n">
        <v>0</v>
      </c>
      <c r="I23" s="11">
        <f>IF(F23="Labor",IF(C23="USD",IFERROR(VLOOKUP(D23,Recursos!$A$3:$F$100,4,FALSE),""),IFERROR(VLOOKUP(D23,Recursos!$A$3:$F$100,5,FALSE),"")),"")</f>
        <v/>
      </c>
      <c r="J23" s="10" t="n">
        <v>0</v>
      </c>
      <c r="K23" s="11">
        <f>IF(F23="Labor",IF(C23="USD",H23*I23,(H23*I23)/Setup!$B$7),IF(C23="USD",J23,J23/Setup!$B$7))</f>
        <v/>
      </c>
      <c r="L23" s="11">
        <f>K23*Setup!$B$7</f>
        <v/>
      </c>
      <c r="M23" s="10" t="n"/>
      <c r="N23" s="10" t="inlineStr">
        <is>
          <t>S</t>
        </is>
      </c>
      <c r="O23" s="10" t="n"/>
      <c r="P23" s="10" t="n"/>
    </row>
    <row r="24">
      <c r="A24" s="10" t="n"/>
      <c r="B24" s="11">
        <f>IF(A24="","",TEXT(A24,"yyyy-mm"))</f>
        <v/>
      </c>
      <c r="C24" s="10" t="inlineStr">
        <is>
          <t>USD</t>
        </is>
      </c>
      <c r="D24" s="10" t="n"/>
      <c r="E24" s="11">
        <f>IFERROR(VLOOKUP(D24,Recursos!$A$3:$F$100,2,FALSE),"")</f>
        <v/>
      </c>
      <c r="F24" s="10" t="n"/>
      <c r="G24" s="10" t="n"/>
      <c r="H24" s="14" t="n">
        <v>0</v>
      </c>
      <c r="I24" s="11">
        <f>IF(F24="Labor",IF(C24="USD",IFERROR(VLOOKUP(D24,Recursos!$A$3:$F$100,4,FALSE),""),IFERROR(VLOOKUP(D24,Recursos!$A$3:$F$100,5,FALSE),"")),"")</f>
        <v/>
      </c>
      <c r="J24" s="10" t="n">
        <v>0</v>
      </c>
      <c r="K24" s="11">
        <f>IF(F24="Labor",IF(C24="USD",H24*I24,(H24*I24)/Setup!$B$7),IF(C24="USD",J24,J24/Setup!$B$7))</f>
        <v/>
      </c>
      <c r="L24" s="11">
        <f>K24*Setup!$B$7</f>
        <v/>
      </c>
      <c r="M24" s="10" t="n"/>
      <c r="N24" s="10" t="inlineStr">
        <is>
          <t>S</t>
        </is>
      </c>
      <c r="O24" s="10" t="n"/>
      <c r="P24" s="10" t="n"/>
    </row>
    <row r="25">
      <c r="A25" s="10" t="n"/>
      <c r="B25" s="11">
        <f>IF(A25="","",TEXT(A25,"yyyy-mm"))</f>
        <v/>
      </c>
      <c r="C25" s="10" t="inlineStr">
        <is>
          <t>USD</t>
        </is>
      </c>
      <c r="D25" s="10" t="n"/>
      <c r="E25" s="11">
        <f>IFERROR(VLOOKUP(D25,Recursos!$A$3:$F$100,2,FALSE),"")</f>
        <v/>
      </c>
      <c r="F25" s="10" t="n"/>
      <c r="G25" s="10" t="n"/>
      <c r="H25" s="14" t="n">
        <v>0</v>
      </c>
      <c r="I25" s="11">
        <f>IF(F25="Labor",IF(C25="USD",IFERROR(VLOOKUP(D25,Recursos!$A$3:$F$100,4,FALSE),""),IFERROR(VLOOKUP(D25,Recursos!$A$3:$F$100,5,FALSE),"")),"")</f>
        <v/>
      </c>
      <c r="J25" s="10" t="n">
        <v>0</v>
      </c>
      <c r="K25" s="11">
        <f>IF(F25="Labor",IF(C25="USD",H25*I25,(H25*I25)/Setup!$B$7),IF(C25="USD",J25,J25/Setup!$B$7))</f>
        <v/>
      </c>
      <c r="L25" s="11">
        <f>K25*Setup!$B$7</f>
        <v/>
      </c>
      <c r="M25" s="10" t="n"/>
      <c r="N25" s="10" t="inlineStr">
        <is>
          <t>S</t>
        </is>
      </c>
      <c r="O25" s="10" t="n"/>
      <c r="P25" s="10" t="n"/>
    </row>
    <row r="26">
      <c r="A26" s="10" t="n"/>
      <c r="B26" s="11">
        <f>IF(A26="","",TEXT(A26,"yyyy-mm"))</f>
        <v/>
      </c>
      <c r="C26" s="10" t="inlineStr">
        <is>
          <t>USD</t>
        </is>
      </c>
      <c r="D26" s="10" t="n"/>
      <c r="E26" s="11">
        <f>IFERROR(VLOOKUP(D26,Recursos!$A$3:$F$100,2,FALSE),"")</f>
        <v/>
      </c>
      <c r="F26" s="10" t="n"/>
      <c r="G26" s="10" t="n"/>
      <c r="H26" s="14" t="n">
        <v>0</v>
      </c>
      <c r="I26" s="11">
        <f>IF(F26="Labor",IF(C26="USD",IFERROR(VLOOKUP(D26,Recursos!$A$3:$F$100,4,FALSE),""),IFERROR(VLOOKUP(D26,Recursos!$A$3:$F$100,5,FALSE),"")),"")</f>
        <v/>
      </c>
      <c r="J26" s="10" t="n">
        <v>0</v>
      </c>
      <c r="K26" s="11">
        <f>IF(F26="Labor",IF(C26="USD",H26*I26,(H26*I26)/Setup!$B$7),IF(C26="USD",J26,J26/Setup!$B$7))</f>
        <v/>
      </c>
      <c r="L26" s="11">
        <f>K26*Setup!$B$7</f>
        <v/>
      </c>
      <c r="M26" s="10" t="n"/>
      <c r="N26" s="10" t="inlineStr">
        <is>
          <t>S</t>
        </is>
      </c>
      <c r="O26" s="10" t="n"/>
      <c r="P26" s="10" t="n"/>
    </row>
    <row r="27">
      <c r="A27" s="10" t="n"/>
      <c r="B27" s="11">
        <f>IF(A27="","",TEXT(A27,"yyyy-mm"))</f>
        <v/>
      </c>
      <c r="C27" s="10" t="inlineStr">
        <is>
          <t>USD</t>
        </is>
      </c>
      <c r="D27" s="10" t="n"/>
      <c r="E27" s="11">
        <f>IFERROR(VLOOKUP(D27,Recursos!$A$3:$F$100,2,FALSE),"")</f>
        <v/>
      </c>
      <c r="F27" s="10" t="n"/>
      <c r="G27" s="10" t="n"/>
      <c r="H27" s="14" t="n">
        <v>0</v>
      </c>
      <c r="I27" s="11">
        <f>IF(F27="Labor",IF(C27="USD",IFERROR(VLOOKUP(D27,Recursos!$A$3:$F$100,4,FALSE),""),IFERROR(VLOOKUP(D27,Recursos!$A$3:$F$100,5,FALSE),"")),"")</f>
        <v/>
      </c>
      <c r="J27" s="10" t="n">
        <v>0</v>
      </c>
      <c r="K27" s="11">
        <f>IF(F27="Labor",IF(C27="USD",H27*I27,(H27*I27)/Setup!$B$7),IF(C27="USD",J27,J27/Setup!$B$7))</f>
        <v/>
      </c>
      <c r="L27" s="11">
        <f>K27*Setup!$B$7</f>
        <v/>
      </c>
      <c r="M27" s="10" t="n"/>
      <c r="N27" s="10" t="inlineStr">
        <is>
          <t>S</t>
        </is>
      </c>
      <c r="O27" s="10" t="n"/>
      <c r="P27" s="10" t="n"/>
    </row>
    <row r="28">
      <c r="A28" s="10" t="n"/>
      <c r="B28" s="11">
        <f>IF(A28="","",TEXT(A28,"yyyy-mm"))</f>
        <v/>
      </c>
      <c r="C28" s="10" t="inlineStr">
        <is>
          <t>USD</t>
        </is>
      </c>
      <c r="D28" s="10" t="n"/>
      <c r="E28" s="11">
        <f>IFERROR(VLOOKUP(D28,Recursos!$A$3:$F$100,2,FALSE),"")</f>
        <v/>
      </c>
      <c r="F28" s="10" t="n"/>
      <c r="G28" s="10" t="n"/>
      <c r="H28" s="14" t="n">
        <v>0</v>
      </c>
      <c r="I28" s="11">
        <f>IF(F28="Labor",IF(C28="USD",IFERROR(VLOOKUP(D28,Recursos!$A$3:$F$100,4,FALSE),""),IFERROR(VLOOKUP(D28,Recursos!$A$3:$F$100,5,FALSE),"")),"")</f>
        <v/>
      </c>
      <c r="J28" s="10" t="n">
        <v>0</v>
      </c>
      <c r="K28" s="11">
        <f>IF(F28="Labor",IF(C28="USD",H28*I28,(H28*I28)/Setup!$B$7),IF(C28="USD",J28,J28/Setup!$B$7))</f>
        <v/>
      </c>
      <c r="L28" s="11">
        <f>K28*Setup!$B$7</f>
        <v/>
      </c>
      <c r="M28" s="10" t="n"/>
      <c r="N28" s="10" t="inlineStr">
        <is>
          <t>S</t>
        </is>
      </c>
      <c r="O28" s="10" t="n"/>
      <c r="P28" s="10" t="n"/>
    </row>
    <row r="29">
      <c r="A29" s="10" t="n"/>
      <c r="B29" s="11">
        <f>IF(A29="","",TEXT(A29,"yyyy-mm"))</f>
        <v/>
      </c>
      <c r="C29" s="10" t="inlineStr">
        <is>
          <t>USD</t>
        </is>
      </c>
      <c r="D29" s="10" t="n"/>
      <c r="E29" s="11">
        <f>IFERROR(VLOOKUP(D29,Recursos!$A$3:$F$100,2,FALSE),"")</f>
        <v/>
      </c>
      <c r="F29" s="10" t="n"/>
      <c r="G29" s="10" t="n"/>
      <c r="H29" s="14" t="n">
        <v>0</v>
      </c>
      <c r="I29" s="11">
        <f>IF(F29="Labor",IF(C29="USD",IFERROR(VLOOKUP(D29,Recursos!$A$3:$F$100,4,FALSE),""),IFERROR(VLOOKUP(D29,Recursos!$A$3:$F$100,5,FALSE),"")),"")</f>
        <v/>
      </c>
      <c r="J29" s="10" t="n">
        <v>0</v>
      </c>
      <c r="K29" s="11">
        <f>IF(F29="Labor",IF(C29="USD",H29*I29,(H29*I29)/Setup!$B$7),IF(C29="USD",J29,J29/Setup!$B$7))</f>
        <v/>
      </c>
      <c r="L29" s="11">
        <f>K29*Setup!$B$7</f>
        <v/>
      </c>
      <c r="M29" s="10" t="n"/>
      <c r="N29" s="10" t="inlineStr">
        <is>
          <t>S</t>
        </is>
      </c>
      <c r="O29" s="10" t="n"/>
      <c r="P29" s="10" t="n"/>
    </row>
    <row r="30">
      <c r="A30" s="10" t="n"/>
      <c r="B30" s="11">
        <f>IF(A30="","",TEXT(A30,"yyyy-mm"))</f>
        <v/>
      </c>
      <c r="C30" s="10" t="inlineStr">
        <is>
          <t>USD</t>
        </is>
      </c>
      <c r="D30" s="10" t="n"/>
      <c r="E30" s="11">
        <f>IFERROR(VLOOKUP(D30,Recursos!$A$3:$F$100,2,FALSE),"")</f>
        <v/>
      </c>
      <c r="F30" s="10" t="n"/>
      <c r="G30" s="10" t="n"/>
      <c r="H30" s="14" t="n">
        <v>0</v>
      </c>
      <c r="I30" s="11">
        <f>IF(F30="Labor",IF(C30="USD",IFERROR(VLOOKUP(D30,Recursos!$A$3:$F$100,4,FALSE),""),IFERROR(VLOOKUP(D30,Recursos!$A$3:$F$100,5,FALSE),"")),"")</f>
        <v/>
      </c>
      <c r="J30" s="10" t="n">
        <v>0</v>
      </c>
      <c r="K30" s="11">
        <f>IF(F30="Labor",IF(C30="USD",H30*I30,(H30*I30)/Setup!$B$7),IF(C30="USD",J30,J30/Setup!$B$7))</f>
        <v/>
      </c>
      <c r="L30" s="11">
        <f>K30*Setup!$B$7</f>
        <v/>
      </c>
      <c r="M30" s="10" t="n"/>
      <c r="N30" s="10" t="inlineStr">
        <is>
          <t>S</t>
        </is>
      </c>
      <c r="O30" s="10" t="n"/>
      <c r="P30" s="10" t="n"/>
    </row>
    <row r="31">
      <c r="A31" s="10" t="n"/>
      <c r="B31" s="11">
        <f>IF(A31="","",TEXT(A31,"yyyy-mm"))</f>
        <v/>
      </c>
      <c r="C31" s="10" t="inlineStr">
        <is>
          <t>USD</t>
        </is>
      </c>
      <c r="D31" s="10" t="n"/>
      <c r="E31" s="11">
        <f>IFERROR(VLOOKUP(D31,Recursos!$A$3:$F$100,2,FALSE),"")</f>
        <v/>
      </c>
      <c r="F31" s="10" t="n"/>
      <c r="G31" s="10" t="n"/>
      <c r="H31" s="14" t="n">
        <v>0</v>
      </c>
      <c r="I31" s="11">
        <f>IF(F31="Labor",IF(C31="USD",IFERROR(VLOOKUP(D31,Recursos!$A$3:$F$100,4,FALSE),""),IFERROR(VLOOKUP(D31,Recursos!$A$3:$F$100,5,FALSE),"")),"")</f>
        <v/>
      </c>
      <c r="J31" s="10" t="n">
        <v>0</v>
      </c>
      <c r="K31" s="11">
        <f>IF(F31="Labor",IF(C31="USD",H31*I31,(H31*I31)/Setup!$B$7),IF(C31="USD",J31,J31/Setup!$B$7))</f>
        <v/>
      </c>
      <c r="L31" s="11">
        <f>K31*Setup!$B$7</f>
        <v/>
      </c>
      <c r="M31" s="10" t="n"/>
      <c r="N31" s="10" t="inlineStr">
        <is>
          <t>S</t>
        </is>
      </c>
      <c r="O31" s="10" t="n"/>
      <c r="P31" s="10" t="n"/>
    </row>
    <row r="32">
      <c r="A32" s="10" t="n"/>
      <c r="B32" s="11">
        <f>IF(A32="","",TEXT(A32,"yyyy-mm"))</f>
        <v/>
      </c>
      <c r="C32" s="10" t="inlineStr">
        <is>
          <t>USD</t>
        </is>
      </c>
      <c r="D32" s="10" t="n"/>
      <c r="E32" s="11">
        <f>IFERROR(VLOOKUP(D32,Recursos!$A$3:$F$100,2,FALSE),"")</f>
        <v/>
      </c>
      <c r="F32" s="10" t="n"/>
      <c r="G32" s="10" t="n"/>
      <c r="H32" s="14" t="n">
        <v>0</v>
      </c>
      <c r="I32" s="11">
        <f>IF(F32="Labor",IF(C32="USD",IFERROR(VLOOKUP(D32,Recursos!$A$3:$F$100,4,FALSE),""),IFERROR(VLOOKUP(D32,Recursos!$A$3:$F$100,5,FALSE),"")),"")</f>
        <v/>
      </c>
      <c r="J32" s="10" t="n">
        <v>0</v>
      </c>
      <c r="K32" s="11">
        <f>IF(F32="Labor",IF(C32="USD",H32*I32,(H32*I32)/Setup!$B$7),IF(C32="USD",J32,J32/Setup!$B$7))</f>
        <v/>
      </c>
      <c r="L32" s="11">
        <f>K32*Setup!$B$7</f>
        <v/>
      </c>
      <c r="M32" s="10" t="n"/>
      <c r="N32" s="10" t="inlineStr">
        <is>
          <t>S</t>
        </is>
      </c>
      <c r="O32" s="10" t="n"/>
      <c r="P32" s="10" t="n"/>
    </row>
    <row r="33">
      <c r="A33" s="10" t="n"/>
      <c r="B33" s="11">
        <f>IF(A33="","",TEXT(A33,"yyyy-mm"))</f>
        <v/>
      </c>
      <c r="C33" s="10" t="inlineStr">
        <is>
          <t>USD</t>
        </is>
      </c>
      <c r="D33" s="10" t="n"/>
      <c r="E33" s="11">
        <f>IFERROR(VLOOKUP(D33,Recursos!$A$3:$F$100,2,FALSE),"")</f>
        <v/>
      </c>
      <c r="F33" s="10" t="n"/>
      <c r="G33" s="10" t="n"/>
      <c r="H33" s="14" t="n">
        <v>0</v>
      </c>
      <c r="I33" s="11">
        <f>IF(F33="Labor",IF(C33="USD",IFERROR(VLOOKUP(D33,Recursos!$A$3:$F$100,4,FALSE),""),IFERROR(VLOOKUP(D33,Recursos!$A$3:$F$100,5,FALSE),"")),"")</f>
        <v/>
      </c>
      <c r="J33" s="10" t="n">
        <v>0</v>
      </c>
      <c r="K33" s="11">
        <f>IF(F33="Labor",IF(C33="USD",H33*I33,(H33*I33)/Setup!$B$7),IF(C33="USD",J33,J33/Setup!$B$7))</f>
        <v/>
      </c>
      <c r="L33" s="11">
        <f>K33*Setup!$B$7</f>
        <v/>
      </c>
      <c r="M33" s="10" t="n"/>
      <c r="N33" s="10" t="inlineStr">
        <is>
          <t>S</t>
        </is>
      </c>
      <c r="O33" s="10" t="n"/>
      <c r="P33" s="10" t="n"/>
    </row>
    <row r="34">
      <c r="A34" s="10" t="n"/>
      <c r="B34" s="11">
        <f>IF(A34="","",TEXT(A34,"yyyy-mm"))</f>
        <v/>
      </c>
      <c r="C34" s="10" t="inlineStr">
        <is>
          <t>USD</t>
        </is>
      </c>
      <c r="D34" s="10" t="n"/>
      <c r="E34" s="11">
        <f>IFERROR(VLOOKUP(D34,Recursos!$A$3:$F$100,2,FALSE),"")</f>
        <v/>
      </c>
      <c r="F34" s="10" t="n"/>
      <c r="G34" s="10" t="n"/>
      <c r="H34" s="14" t="n">
        <v>0</v>
      </c>
      <c r="I34" s="11">
        <f>IF(F34="Labor",IF(C34="USD",IFERROR(VLOOKUP(D34,Recursos!$A$3:$F$100,4,FALSE),""),IFERROR(VLOOKUP(D34,Recursos!$A$3:$F$100,5,FALSE),"")),"")</f>
        <v/>
      </c>
      <c r="J34" s="10" t="n">
        <v>0</v>
      </c>
      <c r="K34" s="11">
        <f>IF(F34="Labor",IF(C34="USD",H34*I34,(H34*I34)/Setup!$B$7),IF(C34="USD",J34,J34/Setup!$B$7))</f>
        <v/>
      </c>
      <c r="L34" s="11">
        <f>K34*Setup!$B$7</f>
        <v/>
      </c>
      <c r="M34" s="10" t="n"/>
      <c r="N34" s="10" t="inlineStr">
        <is>
          <t>S</t>
        </is>
      </c>
      <c r="O34" s="10" t="n"/>
      <c r="P34" s="10" t="n"/>
    </row>
    <row r="35">
      <c r="A35" s="10" t="n"/>
      <c r="B35" s="11">
        <f>IF(A35="","",TEXT(A35,"yyyy-mm"))</f>
        <v/>
      </c>
      <c r="C35" s="10" t="inlineStr">
        <is>
          <t>USD</t>
        </is>
      </c>
      <c r="D35" s="10" t="n"/>
      <c r="E35" s="11">
        <f>IFERROR(VLOOKUP(D35,Recursos!$A$3:$F$100,2,FALSE),"")</f>
        <v/>
      </c>
      <c r="F35" s="10" t="n"/>
      <c r="G35" s="10" t="n"/>
      <c r="H35" s="14" t="n">
        <v>0</v>
      </c>
      <c r="I35" s="11">
        <f>IF(F35="Labor",IF(C35="USD",IFERROR(VLOOKUP(D35,Recursos!$A$3:$F$100,4,FALSE),""),IFERROR(VLOOKUP(D35,Recursos!$A$3:$F$100,5,FALSE),"")),"")</f>
        <v/>
      </c>
      <c r="J35" s="10" t="n">
        <v>0</v>
      </c>
      <c r="K35" s="11">
        <f>IF(F35="Labor",IF(C35="USD",H35*I35,(H35*I35)/Setup!$B$7),IF(C35="USD",J35,J35/Setup!$B$7))</f>
        <v/>
      </c>
      <c r="L35" s="11">
        <f>K35*Setup!$B$7</f>
        <v/>
      </c>
      <c r="M35" s="10" t="n"/>
      <c r="N35" s="10" t="inlineStr">
        <is>
          <t>S</t>
        </is>
      </c>
      <c r="O35" s="10" t="n"/>
      <c r="P35" s="10" t="n"/>
    </row>
    <row r="36">
      <c r="A36" s="10" t="n"/>
      <c r="B36" s="11">
        <f>IF(A36="","",TEXT(A36,"yyyy-mm"))</f>
        <v/>
      </c>
      <c r="C36" s="10" t="inlineStr">
        <is>
          <t>USD</t>
        </is>
      </c>
      <c r="D36" s="10" t="n"/>
      <c r="E36" s="11">
        <f>IFERROR(VLOOKUP(D36,Recursos!$A$3:$F$100,2,FALSE),"")</f>
        <v/>
      </c>
      <c r="F36" s="10" t="n"/>
      <c r="G36" s="10" t="n"/>
      <c r="H36" s="14" t="n">
        <v>0</v>
      </c>
      <c r="I36" s="11">
        <f>IF(F36="Labor",IF(C36="USD",IFERROR(VLOOKUP(D36,Recursos!$A$3:$F$100,4,FALSE),""),IFERROR(VLOOKUP(D36,Recursos!$A$3:$F$100,5,FALSE),"")),"")</f>
        <v/>
      </c>
      <c r="J36" s="10" t="n">
        <v>0</v>
      </c>
      <c r="K36" s="11">
        <f>IF(F36="Labor",IF(C36="USD",H36*I36,(H36*I36)/Setup!$B$7),IF(C36="USD",J36,J36/Setup!$B$7))</f>
        <v/>
      </c>
      <c r="L36" s="11">
        <f>K36*Setup!$B$7</f>
        <v/>
      </c>
      <c r="M36" s="10" t="n"/>
      <c r="N36" s="10" t="inlineStr">
        <is>
          <t>S</t>
        </is>
      </c>
      <c r="O36" s="10" t="n"/>
      <c r="P36" s="10" t="n"/>
    </row>
    <row r="37">
      <c r="A37" s="10" t="n"/>
      <c r="B37" s="11">
        <f>IF(A37="","",TEXT(A37,"yyyy-mm"))</f>
        <v/>
      </c>
      <c r="C37" s="10" t="inlineStr">
        <is>
          <t>USD</t>
        </is>
      </c>
      <c r="D37" s="10" t="n"/>
      <c r="E37" s="11">
        <f>IFERROR(VLOOKUP(D37,Recursos!$A$3:$F$100,2,FALSE),"")</f>
        <v/>
      </c>
      <c r="F37" s="10" t="n"/>
      <c r="G37" s="10" t="n"/>
      <c r="H37" s="14" t="n">
        <v>0</v>
      </c>
      <c r="I37" s="11">
        <f>IF(F37="Labor",IF(C37="USD",IFERROR(VLOOKUP(D37,Recursos!$A$3:$F$100,4,FALSE),""),IFERROR(VLOOKUP(D37,Recursos!$A$3:$F$100,5,FALSE),"")),"")</f>
        <v/>
      </c>
      <c r="J37" s="10" t="n">
        <v>0</v>
      </c>
      <c r="K37" s="11">
        <f>IF(F37="Labor",IF(C37="USD",H37*I37,(H37*I37)/Setup!$B$7),IF(C37="USD",J37,J37/Setup!$B$7))</f>
        <v/>
      </c>
      <c r="L37" s="11">
        <f>K37*Setup!$B$7</f>
        <v/>
      </c>
      <c r="M37" s="10" t="n"/>
      <c r="N37" s="10" t="inlineStr">
        <is>
          <t>S</t>
        </is>
      </c>
      <c r="O37" s="10" t="n"/>
      <c r="P37" s="10" t="n"/>
    </row>
    <row r="38">
      <c r="A38" s="10" t="n"/>
      <c r="B38" s="11">
        <f>IF(A38="","",TEXT(A38,"yyyy-mm"))</f>
        <v/>
      </c>
      <c r="C38" s="10" t="inlineStr">
        <is>
          <t>USD</t>
        </is>
      </c>
      <c r="D38" s="10" t="n"/>
      <c r="E38" s="11">
        <f>IFERROR(VLOOKUP(D38,Recursos!$A$3:$F$100,2,FALSE),"")</f>
        <v/>
      </c>
      <c r="F38" s="10" t="n"/>
      <c r="G38" s="10" t="n"/>
      <c r="H38" s="14" t="n">
        <v>0</v>
      </c>
      <c r="I38" s="11">
        <f>IF(F38="Labor",IF(C38="USD",IFERROR(VLOOKUP(D38,Recursos!$A$3:$F$100,4,FALSE),""),IFERROR(VLOOKUP(D38,Recursos!$A$3:$F$100,5,FALSE),"")),"")</f>
        <v/>
      </c>
      <c r="J38" s="10" t="n">
        <v>0</v>
      </c>
      <c r="K38" s="11">
        <f>IF(F38="Labor",IF(C38="USD",H38*I38,(H38*I38)/Setup!$B$7),IF(C38="USD",J38,J38/Setup!$B$7))</f>
        <v/>
      </c>
      <c r="L38" s="11">
        <f>K38*Setup!$B$7</f>
        <v/>
      </c>
      <c r="M38" s="10" t="n"/>
      <c r="N38" s="10" t="inlineStr">
        <is>
          <t>S</t>
        </is>
      </c>
      <c r="O38" s="10" t="n"/>
      <c r="P38" s="10" t="n"/>
    </row>
    <row r="39">
      <c r="A39" s="10" t="n"/>
      <c r="B39" s="11">
        <f>IF(A39="","",TEXT(A39,"yyyy-mm"))</f>
        <v/>
      </c>
      <c r="C39" s="10" t="inlineStr">
        <is>
          <t>USD</t>
        </is>
      </c>
      <c r="D39" s="10" t="n"/>
      <c r="E39" s="11">
        <f>IFERROR(VLOOKUP(D39,Recursos!$A$3:$F$100,2,FALSE),"")</f>
        <v/>
      </c>
      <c r="F39" s="10" t="n"/>
      <c r="G39" s="10" t="n"/>
      <c r="H39" s="14" t="n">
        <v>0</v>
      </c>
      <c r="I39" s="11">
        <f>IF(F39="Labor",IF(C39="USD",IFERROR(VLOOKUP(D39,Recursos!$A$3:$F$100,4,FALSE),""),IFERROR(VLOOKUP(D39,Recursos!$A$3:$F$100,5,FALSE),"")),"")</f>
        <v/>
      </c>
      <c r="J39" s="10" t="n">
        <v>0</v>
      </c>
      <c r="K39" s="11">
        <f>IF(F39="Labor",IF(C39="USD",H39*I39,(H39*I39)/Setup!$B$7),IF(C39="USD",J39,J39/Setup!$B$7))</f>
        <v/>
      </c>
      <c r="L39" s="11">
        <f>K39*Setup!$B$7</f>
        <v/>
      </c>
      <c r="M39" s="10" t="n"/>
      <c r="N39" s="10" t="inlineStr">
        <is>
          <t>S</t>
        </is>
      </c>
      <c r="O39" s="10" t="n"/>
      <c r="P39" s="10" t="n"/>
    </row>
    <row r="40">
      <c r="A40" s="10" t="n"/>
      <c r="B40" s="11">
        <f>IF(A40="","",TEXT(A40,"yyyy-mm"))</f>
        <v/>
      </c>
      <c r="C40" s="10" t="inlineStr">
        <is>
          <t>USD</t>
        </is>
      </c>
      <c r="D40" s="10" t="n"/>
      <c r="E40" s="11">
        <f>IFERROR(VLOOKUP(D40,Recursos!$A$3:$F$100,2,FALSE),"")</f>
        <v/>
      </c>
      <c r="F40" s="10" t="n"/>
      <c r="G40" s="10" t="n"/>
      <c r="H40" s="14" t="n">
        <v>0</v>
      </c>
      <c r="I40" s="11">
        <f>IF(F40="Labor",IF(C40="USD",IFERROR(VLOOKUP(D40,Recursos!$A$3:$F$100,4,FALSE),""),IFERROR(VLOOKUP(D40,Recursos!$A$3:$F$100,5,FALSE),"")),"")</f>
        <v/>
      </c>
      <c r="J40" s="10" t="n">
        <v>0</v>
      </c>
      <c r="K40" s="11">
        <f>IF(F40="Labor",IF(C40="USD",H40*I40,(H40*I40)/Setup!$B$7),IF(C40="USD",J40,J40/Setup!$B$7))</f>
        <v/>
      </c>
      <c r="L40" s="11">
        <f>K40*Setup!$B$7</f>
        <v/>
      </c>
      <c r="M40" s="10" t="n"/>
      <c r="N40" s="10" t="inlineStr">
        <is>
          <t>S</t>
        </is>
      </c>
      <c r="O40" s="10" t="n"/>
      <c r="P40" s="10" t="n"/>
    </row>
    <row r="41">
      <c r="A41" s="10" t="n"/>
      <c r="B41" s="11">
        <f>IF(A41="","",TEXT(A41,"yyyy-mm"))</f>
        <v/>
      </c>
      <c r="C41" s="10" t="inlineStr">
        <is>
          <t>USD</t>
        </is>
      </c>
      <c r="D41" s="10" t="n"/>
      <c r="E41" s="11">
        <f>IFERROR(VLOOKUP(D41,Recursos!$A$3:$F$100,2,FALSE),"")</f>
        <v/>
      </c>
      <c r="F41" s="10" t="n"/>
      <c r="G41" s="10" t="n"/>
      <c r="H41" s="14" t="n">
        <v>0</v>
      </c>
      <c r="I41" s="11">
        <f>IF(F41="Labor",IF(C41="USD",IFERROR(VLOOKUP(D41,Recursos!$A$3:$F$100,4,FALSE),""),IFERROR(VLOOKUP(D41,Recursos!$A$3:$F$100,5,FALSE),"")),"")</f>
        <v/>
      </c>
      <c r="J41" s="10" t="n">
        <v>0</v>
      </c>
      <c r="K41" s="11">
        <f>IF(F41="Labor",IF(C41="USD",H41*I41,(H41*I41)/Setup!$B$7),IF(C41="USD",J41,J41/Setup!$B$7))</f>
        <v/>
      </c>
      <c r="L41" s="11">
        <f>K41*Setup!$B$7</f>
        <v/>
      </c>
      <c r="M41" s="10" t="n"/>
      <c r="N41" s="10" t="inlineStr">
        <is>
          <t>S</t>
        </is>
      </c>
      <c r="O41" s="10" t="n"/>
      <c r="P41" s="10" t="n"/>
    </row>
    <row r="42">
      <c r="A42" s="10" t="n"/>
      <c r="B42" s="11">
        <f>IF(A42="","",TEXT(A42,"yyyy-mm"))</f>
        <v/>
      </c>
      <c r="C42" s="10" t="inlineStr">
        <is>
          <t>USD</t>
        </is>
      </c>
      <c r="D42" s="10" t="n"/>
      <c r="E42" s="11">
        <f>IFERROR(VLOOKUP(D42,Recursos!$A$3:$F$100,2,FALSE),"")</f>
        <v/>
      </c>
      <c r="F42" s="10" t="n"/>
      <c r="G42" s="10" t="n"/>
      <c r="H42" s="14" t="n">
        <v>0</v>
      </c>
      <c r="I42" s="11">
        <f>IF(F42="Labor",IF(C42="USD",IFERROR(VLOOKUP(D42,Recursos!$A$3:$F$100,4,FALSE),""),IFERROR(VLOOKUP(D42,Recursos!$A$3:$F$100,5,FALSE),"")),"")</f>
        <v/>
      </c>
      <c r="J42" s="10" t="n">
        <v>0</v>
      </c>
      <c r="K42" s="11">
        <f>IF(F42="Labor",IF(C42="USD",H42*I42,(H42*I42)/Setup!$B$7),IF(C42="USD",J42,J42/Setup!$B$7))</f>
        <v/>
      </c>
      <c r="L42" s="11">
        <f>K42*Setup!$B$7</f>
        <v/>
      </c>
      <c r="M42" s="10" t="n"/>
      <c r="N42" s="10" t="inlineStr">
        <is>
          <t>S</t>
        </is>
      </c>
      <c r="O42" s="10" t="n"/>
      <c r="P42" s="10" t="n"/>
    </row>
    <row r="43">
      <c r="A43" s="10" t="n"/>
      <c r="B43" s="11">
        <f>IF(A43="","",TEXT(A43,"yyyy-mm"))</f>
        <v/>
      </c>
      <c r="C43" s="10" t="inlineStr">
        <is>
          <t>USD</t>
        </is>
      </c>
      <c r="D43" s="10" t="n"/>
      <c r="E43" s="11">
        <f>IFERROR(VLOOKUP(D43,Recursos!$A$3:$F$100,2,FALSE),"")</f>
        <v/>
      </c>
      <c r="F43" s="10" t="n"/>
      <c r="G43" s="10" t="n"/>
      <c r="H43" s="14" t="n">
        <v>0</v>
      </c>
      <c r="I43" s="11">
        <f>IF(F43="Labor",IF(C43="USD",IFERROR(VLOOKUP(D43,Recursos!$A$3:$F$100,4,FALSE),""),IFERROR(VLOOKUP(D43,Recursos!$A$3:$F$100,5,FALSE),"")),"")</f>
        <v/>
      </c>
      <c r="J43" s="10" t="n">
        <v>0</v>
      </c>
      <c r="K43" s="11">
        <f>IF(F43="Labor",IF(C43="USD",H43*I43,(H43*I43)/Setup!$B$7),IF(C43="USD",J43,J43/Setup!$B$7))</f>
        <v/>
      </c>
      <c r="L43" s="11">
        <f>K43*Setup!$B$7</f>
        <v/>
      </c>
      <c r="M43" s="10" t="n"/>
      <c r="N43" s="10" t="inlineStr">
        <is>
          <t>S</t>
        </is>
      </c>
      <c r="O43" s="10" t="n"/>
      <c r="P43" s="10" t="n"/>
    </row>
    <row r="44">
      <c r="A44" s="10" t="n"/>
      <c r="B44" s="11">
        <f>IF(A44="","",TEXT(A44,"yyyy-mm"))</f>
        <v/>
      </c>
      <c r="C44" s="10" t="inlineStr">
        <is>
          <t>USD</t>
        </is>
      </c>
      <c r="D44" s="10" t="n"/>
      <c r="E44" s="11">
        <f>IFERROR(VLOOKUP(D44,Recursos!$A$3:$F$100,2,FALSE),"")</f>
        <v/>
      </c>
      <c r="F44" s="10" t="n"/>
      <c r="G44" s="10" t="n"/>
      <c r="H44" s="14" t="n">
        <v>0</v>
      </c>
      <c r="I44" s="11">
        <f>IF(F44="Labor",IF(C44="USD",IFERROR(VLOOKUP(D44,Recursos!$A$3:$F$100,4,FALSE),""),IFERROR(VLOOKUP(D44,Recursos!$A$3:$F$100,5,FALSE),"")),"")</f>
        <v/>
      </c>
      <c r="J44" s="10" t="n">
        <v>0</v>
      </c>
      <c r="K44" s="11">
        <f>IF(F44="Labor",IF(C44="USD",H44*I44,(H44*I44)/Setup!$B$7),IF(C44="USD",J44,J44/Setup!$B$7))</f>
        <v/>
      </c>
      <c r="L44" s="11">
        <f>K44*Setup!$B$7</f>
        <v/>
      </c>
      <c r="M44" s="10" t="n"/>
      <c r="N44" s="10" t="inlineStr">
        <is>
          <t>S</t>
        </is>
      </c>
      <c r="O44" s="10" t="n"/>
      <c r="P44" s="10" t="n"/>
    </row>
    <row r="45">
      <c r="A45" s="10" t="n"/>
      <c r="B45" s="11">
        <f>IF(A45="","",TEXT(A45,"yyyy-mm"))</f>
        <v/>
      </c>
      <c r="C45" s="10" t="inlineStr">
        <is>
          <t>USD</t>
        </is>
      </c>
      <c r="D45" s="10" t="n"/>
      <c r="E45" s="11">
        <f>IFERROR(VLOOKUP(D45,Recursos!$A$3:$F$100,2,FALSE),"")</f>
        <v/>
      </c>
      <c r="F45" s="10" t="n"/>
      <c r="G45" s="10" t="n"/>
      <c r="H45" s="14" t="n">
        <v>0</v>
      </c>
      <c r="I45" s="11">
        <f>IF(F45="Labor",IF(C45="USD",IFERROR(VLOOKUP(D45,Recursos!$A$3:$F$100,4,FALSE),""),IFERROR(VLOOKUP(D45,Recursos!$A$3:$F$100,5,FALSE),"")),"")</f>
        <v/>
      </c>
      <c r="J45" s="10" t="n">
        <v>0</v>
      </c>
      <c r="K45" s="11">
        <f>IF(F45="Labor",IF(C45="USD",H45*I45,(H45*I45)/Setup!$B$7),IF(C45="USD",J45,J45/Setup!$B$7))</f>
        <v/>
      </c>
      <c r="L45" s="11">
        <f>K45*Setup!$B$7</f>
        <v/>
      </c>
      <c r="M45" s="10" t="n"/>
      <c r="N45" s="10" t="inlineStr">
        <is>
          <t>S</t>
        </is>
      </c>
      <c r="O45" s="10" t="n"/>
      <c r="P45" s="10" t="n"/>
    </row>
    <row r="46">
      <c r="A46" s="10" t="n"/>
      <c r="B46" s="11">
        <f>IF(A46="","",TEXT(A46,"yyyy-mm"))</f>
        <v/>
      </c>
      <c r="C46" s="10" t="inlineStr">
        <is>
          <t>USD</t>
        </is>
      </c>
      <c r="D46" s="10" t="n"/>
      <c r="E46" s="11">
        <f>IFERROR(VLOOKUP(D46,Recursos!$A$3:$F$100,2,FALSE),"")</f>
        <v/>
      </c>
      <c r="F46" s="10" t="n"/>
      <c r="G46" s="10" t="n"/>
      <c r="H46" s="14" t="n">
        <v>0</v>
      </c>
      <c r="I46" s="11">
        <f>IF(F46="Labor",IF(C46="USD",IFERROR(VLOOKUP(D46,Recursos!$A$3:$F$100,4,FALSE),""),IFERROR(VLOOKUP(D46,Recursos!$A$3:$F$100,5,FALSE),"")),"")</f>
        <v/>
      </c>
      <c r="J46" s="10" t="n">
        <v>0</v>
      </c>
      <c r="K46" s="11">
        <f>IF(F46="Labor",IF(C46="USD",H46*I46,(H46*I46)/Setup!$B$7),IF(C46="USD",J46,J46/Setup!$B$7))</f>
        <v/>
      </c>
      <c r="L46" s="11">
        <f>K46*Setup!$B$7</f>
        <v/>
      </c>
      <c r="M46" s="10" t="n"/>
      <c r="N46" s="10" t="inlineStr">
        <is>
          <t>S</t>
        </is>
      </c>
      <c r="O46" s="10" t="n"/>
      <c r="P46" s="10" t="n"/>
    </row>
    <row r="47">
      <c r="A47" s="10" t="n"/>
      <c r="B47" s="11">
        <f>IF(A47="","",TEXT(A47,"yyyy-mm"))</f>
        <v/>
      </c>
      <c r="C47" s="10" t="inlineStr">
        <is>
          <t>USD</t>
        </is>
      </c>
      <c r="D47" s="10" t="n"/>
      <c r="E47" s="11">
        <f>IFERROR(VLOOKUP(D47,Recursos!$A$3:$F$100,2,FALSE),"")</f>
        <v/>
      </c>
      <c r="F47" s="10" t="n"/>
      <c r="G47" s="10" t="n"/>
      <c r="H47" s="14" t="n">
        <v>0</v>
      </c>
      <c r="I47" s="11">
        <f>IF(F47="Labor",IF(C47="USD",IFERROR(VLOOKUP(D47,Recursos!$A$3:$F$100,4,FALSE),""),IFERROR(VLOOKUP(D47,Recursos!$A$3:$F$100,5,FALSE),"")),"")</f>
        <v/>
      </c>
      <c r="J47" s="10" t="n">
        <v>0</v>
      </c>
      <c r="K47" s="11">
        <f>IF(F47="Labor",IF(C47="USD",H47*I47,(H47*I47)/Setup!$B$7),IF(C47="USD",J47,J47/Setup!$B$7))</f>
        <v/>
      </c>
      <c r="L47" s="11">
        <f>K47*Setup!$B$7</f>
        <v/>
      </c>
      <c r="M47" s="10" t="n"/>
      <c r="N47" s="10" t="inlineStr">
        <is>
          <t>S</t>
        </is>
      </c>
      <c r="O47" s="10" t="n"/>
      <c r="P47" s="10" t="n"/>
    </row>
    <row r="48">
      <c r="A48" s="10" t="n"/>
      <c r="B48" s="11">
        <f>IF(A48="","",TEXT(A48,"yyyy-mm"))</f>
        <v/>
      </c>
      <c r="C48" s="10" t="inlineStr">
        <is>
          <t>USD</t>
        </is>
      </c>
      <c r="D48" s="10" t="n"/>
      <c r="E48" s="11">
        <f>IFERROR(VLOOKUP(D48,Recursos!$A$3:$F$100,2,FALSE),"")</f>
        <v/>
      </c>
      <c r="F48" s="10" t="n"/>
      <c r="G48" s="10" t="n"/>
      <c r="H48" s="14" t="n">
        <v>0</v>
      </c>
      <c r="I48" s="11">
        <f>IF(F48="Labor",IF(C48="USD",IFERROR(VLOOKUP(D48,Recursos!$A$3:$F$100,4,FALSE),""),IFERROR(VLOOKUP(D48,Recursos!$A$3:$F$100,5,FALSE),"")),"")</f>
        <v/>
      </c>
      <c r="J48" s="10" t="n">
        <v>0</v>
      </c>
      <c r="K48" s="11">
        <f>IF(F48="Labor",IF(C48="USD",H48*I48,(H48*I48)/Setup!$B$7),IF(C48="USD",J48,J48/Setup!$B$7))</f>
        <v/>
      </c>
      <c r="L48" s="11">
        <f>K48*Setup!$B$7</f>
        <v/>
      </c>
      <c r="M48" s="10" t="n"/>
      <c r="N48" s="10" t="inlineStr">
        <is>
          <t>S</t>
        </is>
      </c>
      <c r="O48" s="10" t="n"/>
      <c r="P48" s="10" t="n"/>
    </row>
    <row r="49">
      <c r="A49" s="10" t="n"/>
      <c r="B49" s="11">
        <f>IF(A49="","",TEXT(A49,"yyyy-mm"))</f>
        <v/>
      </c>
      <c r="C49" s="10" t="inlineStr">
        <is>
          <t>USD</t>
        </is>
      </c>
      <c r="D49" s="10" t="n"/>
      <c r="E49" s="11">
        <f>IFERROR(VLOOKUP(D49,Recursos!$A$3:$F$100,2,FALSE),"")</f>
        <v/>
      </c>
      <c r="F49" s="10" t="n"/>
      <c r="G49" s="10" t="n"/>
      <c r="H49" s="14" t="n">
        <v>0</v>
      </c>
      <c r="I49" s="11">
        <f>IF(F49="Labor",IF(C49="USD",IFERROR(VLOOKUP(D49,Recursos!$A$3:$F$100,4,FALSE),""),IFERROR(VLOOKUP(D49,Recursos!$A$3:$F$100,5,FALSE),"")),"")</f>
        <v/>
      </c>
      <c r="J49" s="10" t="n">
        <v>0</v>
      </c>
      <c r="K49" s="11">
        <f>IF(F49="Labor",IF(C49="USD",H49*I49,(H49*I49)/Setup!$B$7),IF(C49="USD",J49,J49/Setup!$B$7))</f>
        <v/>
      </c>
      <c r="L49" s="11">
        <f>K49*Setup!$B$7</f>
        <v/>
      </c>
      <c r="M49" s="10" t="n"/>
      <c r="N49" s="10" t="inlineStr">
        <is>
          <t>S</t>
        </is>
      </c>
      <c r="O49" s="10" t="n"/>
      <c r="P49" s="10" t="n"/>
    </row>
    <row r="50">
      <c r="A50" s="10" t="n"/>
      <c r="B50" s="11">
        <f>IF(A50="","",TEXT(A50,"yyyy-mm"))</f>
        <v/>
      </c>
      <c r="C50" s="10" t="inlineStr">
        <is>
          <t>USD</t>
        </is>
      </c>
      <c r="D50" s="10" t="n"/>
      <c r="E50" s="11">
        <f>IFERROR(VLOOKUP(D50,Recursos!$A$3:$F$100,2,FALSE),"")</f>
        <v/>
      </c>
      <c r="F50" s="10" t="n"/>
      <c r="G50" s="10" t="n"/>
      <c r="H50" s="14" t="n">
        <v>0</v>
      </c>
      <c r="I50" s="11">
        <f>IF(F50="Labor",IF(C50="USD",IFERROR(VLOOKUP(D50,Recursos!$A$3:$F$100,4,FALSE),""),IFERROR(VLOOKUP(D50,Recursos!$A$3:$F$100,5,FALSE),"")),"")</f>
        <v/>
      </c>
      <c r="J50" s="10" t="n">
        <v>0</v>
      </c>
      <c r="K50" s="11">
        <f>IF(F50="Labor",IF(C50="USD",H50*I50,(H50*I50)/Setup!$B$7),IF(C50="USD",J50,J50/Setup!$B$7))</f>
        <v/>
      </c>
      <c r="L50" s="11">
        <f>K50*Setup!$B$7</f>
        <v/>
      </c>
      <c r="M50" s="10" t="n"/>
      <c r="N50" s="10" t="inlineStr">
        <is>
          <t>S</t>
        </is>
      </c>
      <c r="O50" s="10" t="n"/>
      <c r="P50" s="10" t="n"/>
    </row>
    <row r="51">
      <c r="A51" s="10" t="n"/>
      <c r="B51" s="11">
        <f>IF(A51="","",TEXT(A51,"yyyy-mm"))</f>
        <v/>
      </c>
      <c r="C51" s="10" t="inlineStr">
        <is>
          <t>USD</t>
        </is>
      </c>
      <c r="D51" s="10" t="n"/>
      <c r="E51" s="11">
        <f>IFERROR(VLOOKUP(D51,Recursos!$A$3:$F$100,2,FALSE),"")</f>
        <v/>
      </c>
      <c r="F51" s="10" t="n"/>
      <c r="G51" s="10" t="n"/>
      <c r="H51" s="14" t="n">
        <v>0</v>
      </c>
      <c r="I51" s="11">
        <f>IF(F51="Labor",IF(C51="USD",IFERROR(VLOOKUP(D51,Recursos!$A$3:$F$100,4,FALSE),""),IFERROR(VLOOKUP(D51,Recursos!$A$3:$F$100,5,FALSE),"")),"")</f>
        <v/>
      </c>
      <c r="J51" s="10" t="n">
        <v>0</v>
      </c>
      <c r="K51" s="11">
        <f>IF(F51="Labor",IF(C51="USD",H51*I51,(H51*I51)/Setup!$B$7),IF(C51="USD",J51,J51/Setup!$B$7))</f>
        <v/>
      </c>
      <c r="L51" s="11">
        <f>K51*Setup!$B$7</f>
        <v/>
      </c>
      <c r="M51" s="10" t="n"/>
      <c r="N51" s="10" t="inlineStr">
        <is>
          <t>S</t>
        </is>
      </c>
      <c r="O51" s="10" t="n"/>
      <c r="P51" s="10" t="n"/>
    </row>
    <row r="52">
      <c r="A52" s="10" t="n"/>
      <c r="B52" s="11">
        <f>IF(A52="","",TEXT(A52,"yyyy-mm"))</f>
        <v/>
      </c>
      <c r="C52" s="10" t="inlineStr">
        <is>
          <t>USD</t>
        </is>
      </c>
      <c r="D52" s="10" t="n"/>
      <c r="E52" s="11">
        <f>IFERROR(VLOOKUP(D52,Recursos!$A$3:$F$100,2,FALSE),"")</f>
        <v/>
      </c>
      <c r="F52" s="10" t="n"/>
      <c r="G52" s="10" t="n"/>
      <c r="H52" s="14" t="n">
        <v>0</v>
      </c>
      <c r="I52" s="11">
        <f>IF(F52="Labor",IF(C52="USD",IFERROR(VLOOKUP(D52,Recursos!$A$3:$F$100,4,FALSE),""),IFERROR(VLOOKUP(D52,Recursos!$A$3:$F$100,5,FALSE),"")),"")</f>
        <v/>
      </c>
      <c r="J52" s="10" t="n">
        <v>0</v>
      </c>
      <c r="K52" s="11">
        <f>IF(F52="Labor",IF(C52="USD",H52*I52,(H52*I52)/Setup!$B$7),IF(C52="USD",J52,J52/Setup!$B$7))</f>
        <v/>
      </c>
      <c r="L52" s="11">
        <f>K52*Setup!$B$7</f>
        <v/>
      </c>
      <c r="M52" s="10" t="n"/>
      <c r="N52" s="10" t="inlineStr">
        <is>
          <t>S</t>
        </is>
      </c>
      <c r="O52" s="10" t="n"/>
      <c r="P52" s="10" t="n"/>
    </row>
    <row r="53">
      <c r="A53" s="10" t="n"/>
      <c r="B53" s="11">
        <f>IF(A53="","",TEXT(A53,"yyyy-mm"))</f>
        <v/>
      </c>
      <c r="C53" s="10" t="inlineStr">
        <is>
          <t>USD</t>
        </is>
      </c>
      <c r="D53" s="10" t="n"/>
      <c r="E53" s="11">
        <f>IFERROR(VLOOKUP(D53,Recursos!$A$3:$F$100,2,FALSE),"")</f>
        <v/>
      </c>
      <c r="F53" s="10" t="n"/>
      <c r="G53" s="10" t="n"/>
      <c r="H53" s="14" t="n">
        <v>0</v>
      </c>
      <c r="I53" s="11">
        <f>IF(F53="Labor",IF(C53="USD",IFERROR(VLOOKUP(D53,Recursos!$A$3:$F$100,4,FALSE),""),IFERROR(VLOOKUP(D53,Recursos!$A$3:$F$100,5,FALSE),"")),"")</f>
        <v/>
      </c>
      <c r="J53" s="10" t="n">
        <v>0</v>
      </c>
      <c r="K53" s="11">
        <f>IF(F53="Labor",IF(C53="USD",H53*I53,(H53*I53)/Setup!$B$7),IF(C53="USD",J53,J53/Setup!$B$7))</f>
        <v/>
      </c>
      <c r="L53" s="11">
        <f>K53*Setup!$B$7</f>
        <v/>
      </c>
      <c r="M53" s="10" t="n"/>
      <c r="N53" s="10" t="inlineStr">
        <is>
          <t>S</t>
        </is>
      </c>
      <c r="O53" s="10" t="n"/>
      <c r="P53" s="10" t="n"/>
    </row>
    <row r="54">
      <c r="A54" s="10" t="n"/>
      <c r="B54" s="11">
        <f>IF(A54="","",TEXT(A54,"yyyy-mm"))</f>
        <v/>
      </c>
      <c r="C54" s="10" t="inlineStr">
        <is>
          <t>USD</t>
        </is>
      </c>
      <c r="D54" s="10" t="n"/>
      <c r="E54" s="11">
        <f>IFERROR(VLOOKUP(D54,Recursos!$A$3:$F$100,2,FALSE),"")</f>
        <v/>
      </c>
      <c r="F54" s="10" t="n"/>
      <c r="G54" s="10" t="n"/>
      <c r="H54" s="14" t="n">
        <v>0</v>
      </c>
      <c r="I54" s="11">
        <f>IF(F54="Labor",IF(C54="USD",IFERROR(VLOOKUP(D54,Recursos!$A$3:$F$100,4,FALSE),""),IFERROR(VLOOKUP(D54,Recursos!$A$3:$F$100,5,FALSE),"")),"")</f>
        <v/>
      </c>
      <c r="J54" s="10" t="n">
        <v>0</v>
      </c>
      <c r="K54" s="11">
        <f>IF(F54="Labor",IF(C54="USD",H54*I54,(H54*I54)/Setup!$B$7),IF(C54="USD",J54,J54/Setup!$B$7))</f>
        <v/>
      </c>
      <c r="L54" s="11">
        <f>K54*Setup!$B$7</f>
        <v/>
      </c>
      <c r="M54" s="10" t="n"/>
      <c r="N54" s="10" t="inlineStr">
        <is>
          <t>S</t>
        </is>
      </c>
      <c r="O54" s="10" t="n"/>
      <c r="P54" s="10" t="n"/>
    </row>
    <row r="55">
      <c r="A55" s="10" t="n"/>
      <c r="B55" s="11">
        <f>IF(A55="","",TEXT(A55,"yyyy-mm"))</f>
        <v/>
      </c>
      <c r="C55" s="10" t="inlineStr">
        <is>
          <t>USD</t>
        </is>
      </c>
      <c r="D55" s="10" t="n"/>
      <c r="E55" s="11">
        <f>IFERROR(VLOOKUP(D55,Recursos!$A$3:$F$100,2,FALSE),"")</f>
        <v/>
      </c>
      <c r="F55" s="10" t="n"/>
      <c r="G55" s="10" t="n"/>
      <c r="H55" s="14" t="n">
        <v>0</v>
      </c>
      <c r="I55" s="11">
        <f>IF(F55="Labor",IF(C55="USD",IFERROR(VLOOKUP(D55,Recursos!$A$3:$F$100,4,FALSE),""),IFERROR(VLOOKUP(D55,Recursos!$A$3:$F$100,5,FALSE),"")),"")</f>
        <v/>
      </c>
      <c r="J55" s="10" t="n">
        <v>0</v>
      </c>
      <c r="K55" s="11">
        <f>IF(F55="Labor",IF(C55="USD",H55*I55,(H55*I55)/Setup!$B$7),IF(C55="USD",J55,J55/Setup!$B$7))</f>
        <v/>
      </c>
      <c r="L55" s="11">
        <f>K55*Setup!$B$7</f>
        <v/>
      </c>
      <c r="M55" s="10" t="n"/>
      <c r="N55" s="10" t="inlineStr">
        <is>
          <t>S</t>
        </is>
      </c>
      <c r="O55" s="10" t="n"/>
      <c r="P55" s="10" t="n"/>
    </row>
    <row r="56">
      <c r="A56" s="10" t="n"/>
      <c r="B56" s="11">
        <f>IF(A56="","",TEXT(A56,"yyyy-mm"))</f>
        <v/>
      </c>
      <c r="C56" s="10" t="inlineStr">
        <is>
          <t>USD</t>
        </is>
      </c>
      <c r="D56" s="10" t="n"/>
      <c r="E56" s="11">
        <f>IFERROR(VLOOKUP(D56,Recursos!$A$3:$F$100,2,FALSE),"")</f>
        <v/>
      </c>
      <c r="F56" s="10" t="n"/>
      <c r="G56" s="10" t="n"/>
      <c r="H56" s="14" t="n">
        <v>0</v>
      </c>
      <c r="I56" s="11">
        <f>IF(F56="Labor",IF(C56="USD",IFERROR(VLOOKUP(D56,Recursos!$A$3:$F$100,4,FALSE),""),IFERROR(VLOOKUP(D56,Recursos!$A$3:$F$100,5,FALSE),"")),"")</f>
        <v/>
      </c>
      <c r="J56" s="10" t="n">
        <v>0</v>
      </c>
      <c r="K56" s="11">
        <f>IF(F56="Labor",IF(C56="USD",H56*I56,(H56*I56)/Setup!$B$7),IF(C56="USD",J56,J56/Setup!$B$7))</f>
        <v/>
      </c>
      <c r="L56" s="11">
        <f>K56*Setup!$B$7</f>
        <v/>
      </c>
      <c r="M56" s="10" t="n"/>
      <c r="N56" s="10" t="inlineStr">
        <is>
          <t>S</t>
        </is>
      </c>
      <c r="O56" s="10" t="n"/>
      <c r="P56" s="10" t="n"/>
    </row>
    <row r="57">
      <c r="A57" s="10" t="n"/>
      <c r="B57" s="11">
        <f>IF(A57="","",TEXT(A57,"yyyy-mm"))</f>
        <v/>
      </c>
      <c r="C57" s="10" t="inlineStr">
        <is>
          <t>USD</t>
        </is>
      </c>
      <c r="D57" s="10" t="n"/>
      <c r="E57" s="11">
        <f>IFERROR(VLOOKUP(D57,Recursos!$A$3:$F$100,2,FALSE),"")</f>
        <v/>
      </c>
      <c r="F57" s="10" t="n"/>
      <c r="G57" s="10" t="n"/>
      <c r="H57" s="14" t="n">
        <v>0</v>
      </c>
      <c r="I57" s="11">
        <f>IF(F57="Labor",IF(C57="USD",IFERROR(VLOOKUP(D57,Recursos!$A$3:$F$100,4,FALSE),""),IFERROR(VLOOKUP(D57,Recursos!$A$3:$F$100,5,FALSE),"")),"")</f>
        <v/>
      </c>
      <c r="J57" s="10" t="n">
        <v>0</v>
      </c>
      <c r="K57" s="11">
        <f>IF(F57="Labor",IF(C57="USD",H57*I57,(H57*I57)/Setup!$B$7),IF(C57="USD",J57,J57/Setup!$B$7))</f>
        <v/>
      </c>
      <c r="L57" s="11">
        <f>K57*Setup!$B$7</f>
        <v/>
      </c>
      <c r="M57" s="10" t="n"/>
      <c r="N57" s="10" t="inlineStr">
        <is>
          <t>S</t>
        </is>
      </c>
      <c r="O57" s="10" t="n"/>
      <c r="P57" s="10" t="n"/>
    </row>
    <row r="58">
      <c r="A58" s="10" t="n"/>
      <c r="B58" s="11">
        <f>IF(A58="","",TEXT(A58,"yyyy-mm"))</f>
        <v/>
      </c>
      <c r="C58" s="10" t="inlineStr">
        <is>
          <t>USD</t>
        </is>
      </c>
      <c r="D58" s="10" t="n"/>
      <c r="E58" s="11">
        <f>IFERROR(VLOOKUP(D58,Recursos!$A$3:$F$100,2,FALSE),"")</f>
        <v/>
      </c>
      <c r="F58" s="10" t="n"/>
      <c r="G58" s="10" t="n"/>
      <c r="H58" s="14" t="n">
        <v>0</v>
      </c>
      <c r="I58" s="11">
        <f>IF(F58="Labor",IF(C58="USD",IFERROR(VLOOKUP(D58,Recursos!$A$3:$F$100,4,FALSE),""),IFERROR(VLOOKUP(D58,Recursos!$A$3:$F$100,5,FALSE),"")),"")</f>
        <v/>
      </c>
      <c r="J58" s="10" t="n">
        <v>0</v>
      </c>
      <c r="K58" s="11">
        <f>IF(F58="Labor",IF(C58="USD",H58*I58,(H58*I58)/Setup!$B$7),IF(C58="USD",J58,J58/Setup!$B$7))</f>
        <v/>
      </c>
      <c r="L58" s="11">
        <f>K58*Setup!$B$7</f>
        <v/>
      </c>
      <c r="M58" s="10" t="n"/>
      <c r="N58" s="10" t="inlineStr">
        <is>
          <t>S</t>
        </is>
      </c>
      <c r="O58" s="10" t="n"/>
      <c r="P58" s="10" t="n"/>
    </row>
    <row r="59">
      <c r="A59" s="10" t="n"/>
      <c r="B59" s="11">
        <f>IF(A59="","",TEXT(A59,"yyyy-mm"))</f>
        <v/>
      </c>
      <c r="C59" s="10" t="inlineStr">
        <is>
          <t>USD</t>
        </is>
      </c>
      <c r="D59" s="10" t="n"/>
      <c r="E59" s="11">
        <f>IFERROR(VLOOKUP(D59,Recursos!$A$3:$F$100,2,FALSE),"")</f>
        <v/>
      </c>
      <c r="F59" s="10" t="n"/>
      <c r="G59" s="10" t="n"/>
      <c r="H59" s="14" t="n">
        <v>0</v>
      </c>
      <c r="I59" s="11">
        <f>IF(F59="Labor",IF(C59="USD",IFERROR(VLOOKUP(D59,Recursos!$A$3:$F$100,4,FALSE),""),IFERROR(VLOOKUP(D59,Recursos!$A$3:$F$100,5,FALSE),"")),"")</f>
        <v/>
      </c>
      <c r="J59" s="10" t="n">
        <v>0</v>
      </c>
      <c r="K59" s="11">
        <f>IF(F59="Labor",IF(C59="USD",H59*I59,(H59*I59)/Setup!$B$7),IF(C59="USD",J59,J59/Setup!$B$7))</f>
        <v/>
      </c>
      <c r="L59" s="11">
        <f>K59*Setup!$B$7</f>
        <v/>
      </c>
      <c r="M59" s="10" t="n"/>
      <c r="N59" s="10" t="inlineStr">
        <is>
          <t>S</t>
        </is>
      </c>
      <c r="O59" s="10" t="n"/>
      <c r="P59" s="10" t="n"/>
    </row>
    <row r="60">
      <c r="A60" s="10" t="n"/>
      <c r="B60" s="11">
        <f>IF(A60="","",TEXT(A60,"yyyy-mm"))</f>
        <v/>
      </c>
      <c r="C60" s="10" t="inlineStr">
        <is>
          <t>USD</t>
        </is>
      </c>
      <c r="D60" s="10" t="n"/>
      <c r="E60" s="11">
        <f>IFERROR(VLOOKUP(D60,Recursos!$A$3:$F$100,2,FALSE),"")</f>
        <v/>
      </c>
      <c r="F60" s="10" t="n"/>
      <c r="G60" s="10" t="n"/>
      <c r="H60" s="14" t="n">
        <v>0</v>
      </c>
      <c r="I60" s="11">
        <f>IF(F60="Labor",IF(C60="USD",IFERROR(VLOOKUP(D60,Recursos!$A$3:$F$100,4,FALSE),""),IFERROR(VLOOKUP(D60,Recursos!$A$3:$F$100,5,FALSE),"")),"")</f>
        <v/>
      </c>
      <c r="J60" s="10" t="n">
        <v>0</v>
      </c>
      <c r="K60" s="11">
        <f>IF(F60="Labor",IF(C60="USD",H60*I60,(H60*I60)/Setup!$B$7),IF(C60="USD",J60,J60/Setup!$B$7))</f>
        <v/>
      </c>
      <c r="L60" s="11">
        <f>K60*Setup!$B$7</f>
        <v/>
      </c>
      <c r="M60" s="10" t="n"/>
      <c r="N60" s="10" t="inlineStr">
        <is>
          <t>S</t>
        </is>
      </c>
      <c r="O60" s="10" t="n"/>
      <c r="P60" s="10" t="n"/>
    </row>
    <row r="61">
      <c r="A61" s="10" t="n"/>
      <c r="B61" s="11">
        <f>IF(A61="","",TEXT(A61,"yyyy-mm"))</f>
        <v/>
      </c>
      <c r="C61" s="10" t="inlineStr">
        <is>
          <t>USD</t>
        </is>
      </c>
      <c r="D61" s="10" t="n"/>
      <c r="E61" s="11">
        <f>IFERROR(VLOOKUP(D61,Recursos!$A$3:$F$100,2,FALSE),"")</f>
        <v/>
      </c>
      <c r="F61" s="10" t="n"/>
      <c r="G61" s="10" t="n"/>
      <c r="H61" s="14" t="n">
        <v>0</v>
      </c>
      <c r="I61" s="11">
        <f>IF(F61="Labor",IF(C61="USD",IFERROR(VLOOKUP(D61,Recursos!$A$3:$F$100,4,FALSE),""),IFERROR(VLOOKUP(D61,Recursos!$A$3:$F$100,5,FALSE),"")),"")</f>
        <v/>
      </c>
      <c r="J61" s="10" t="n">
        <v>0</v>
      </c>
      <c r="K61" s="11">
        <f>IF(F61="Labor",IF(C61="USD",H61*I61,(H61*I61)/Setup!$B$7),IF(C61="USD",J61,J61/Setup!$B$7))</f>
        <v/>
      </c>
      <c r="L61" s="11">
        <f>K61*Setup!$B$7</f>
        <v/>
      </c>
      <c r="M61" s="10" t="n"/>
      <c r="N61" s="10" t="inlineStr">
        <is>
          <t>S</t>
        </is>
      </c>
      <c r="O61" s="10" t="n"/>
      <c r="P61" s="10" t="n"/>
    </row>
    <row r="62">
      <c r="A62" s="10" t="n"/>
      <c r="B62" s="11">
        <f>IF(A62="","",TEXT(A62,"yyyy-mm"))</f>
        <v/>
      </c>
      <c r="C62" s="10" t="inlineStr">
        <is>
          <t>USD</t>
        </is>
      </c>
      <c r="D62" s="10" t="n"/>
      <c r="E62" s="11">
        <f>IFERROR(VLOOKUP(D62,Recursos!$A$3:$F$100,2,FALSE),"")</f>
        <v/>
      </c>
      <c r="F62" s="10" t="n"/>
      <c r="G62" s="10" t="n"/>
      <c r="H62" s="14" t="n">
        <v>0</v>
      </c>
      <c r="I62" s="11">
        <f>IF(F62="Labor",IF(C62="USD",IFERROR(VLOOKUP(D62,Recursos!$A$3:$F$100,4,FALSE),""),IFERROR(VLOOKUP(D62,Recursos!$A$3:$F$100,5,FALSE),"")),"")</f>
        <v/>
      </c>
      <c r="J62" s="10" t="n">
        <v>0</v>
      </c>
      <c r="K62" s="11">
        <f>IF(F62="Labor",IF(C62="USD",H62*I62,(H62*I62)/Setup!$B$7),IF(C62="USD",J62,J62/Setup!$B$7))</f>
        <v/>
      </c>
      <c r="L62" s="11">
        <f>K62*Setup!$B$7</f>
        <v/>
      </c>
      <c r="M62" s="10" t="n"/>
      <c r="N62" s="10" t="inlineStr">
        <is>
          <t>S</t>
        </is>
      </c>
      <c r="O62" s="10" t="n"/>
      <c r="P62" s="10" t="n"/>
    </row>
    <row r="63">
      <c r="A63" s="10" t="n"/>
      <c r="B63" s="11">
        <f>IF(A63="","",TEXT(A63,"yyyy-mm"))</f>
        <v/>
      </c>
      <c r="C63" s="10" t="inlineStr">
        <is>
          <t>USD</t>
        </is>
      </c>
      <c r="D63" s="10" t="n"/>
      <c r="E63" s="11">
        <f>IFERROR(VLOOKUP(D63,Recursos!$A$3:$F$100,2,FALSE),"")</f>
        <v/>
      </c>
      <c r="F63" s="10" t="n"/>
      <c r="G63" s="10" t="n"/>
      <c r="H63" s="14" t="n">
        <v>0</v>
      </c>
      <c r="I63" s="11">
        <f>IF(F63="Labor",IF(C63="USD",IFERROR(VLOOKUP(D63,Recursos!$A$3:$F$100,4,FALSE),""),IFERROR(VLOOKUP(D63,Recursos!$A$3:$F$100,5,FALSE),"")),"")</f>
        <v/>
      </c>
      <c r="J63" s="10" t="n">
        <v>0</v>
      </c>
      <c r="K63" s="11">
        <f>IF(F63="Labor",IF(C63="USD",H63*I63,(H63*I63)/Setup!$B$7),IF(C63="USD",J63,J63/Setup!$B$7))</f>
        <v/>
      </c>
      <c r="L63" s="11">
        <f>K63*Setup!$B$7</f>
        <v/>
      </c>
      <c r="M63" s="10" t="n"/>
      <c r="N63" s="10" t="inlineStr">
        <is>
          <t>S</t>
        </is>
      </c>
      <c r="O63" s="10" t="n"/>
      <c r="P63" s="10" t="n"/>
    </row>
    <row r="64">
      <c r="A64" s="10" t="n"/>
      <c r="B64" s="11">
        <f>IF(A64="","",TEXT(A64,"yyyy-mm"))</f>
        <v/>
      </c>
      <c r="C64" s="10" t="inlineStr">
        <is>
          <t>USD</t>
        </is>
      </c>
      <c r="D64" s="10" t="n"/>
      <c r="E64" s="11">
        <f>IFERROR(VLOOKUP(D64,Recursos!$A$3:$F$100,2,FALSE),"")</f>
        <v/>
      </c>
      <c r="F64" s="10" t="n"/>
      <c r="G64" s="10" t="n"/>
      <c r="H64" s="14" t="n">
        <v>0</v>
      </c>
      <c r="I64" s="11">
        <f>IF(F64="Labor",IF(C64="USD",IFERROR(VLOOKUP(D64,Recursos!$A$3:$F$100,4,FALSE),""),IFERROR(VLOOKUP(D64,Recursos!$A$3:$F$100,5,FALSE),"")),"")</f>
        <v/>
      </c>
      <c r="J64" s="10" t="n">
        <v>0</v>
      </c>
      <c r="K64" s="11">
        <f>IF(F64="Labor",IF(C64="USD",H64*I64,(H64*I64)/Setup!$B$7),IF(C64="USD",J64,J64/Setup!$B$7))</f>
        <v/>
      </c>
      <c r="L64" s="11">
        <f>K64*Setup!$B$7</f>
        <v/>
      </c>
      <c r="M64" s="10" t="n"/>
      <c r="N64" s="10" t="inlineStr">
        <is>
          <t>S</t>
        </is>
      </c>
      <c r="O64" s="10" t="n"/>
      <c r="P64" s="10" t="n"/>
    </row>
    <row r="65">
      <c r="A65" s="10" t="n"/>
      <c r="B65" s="11">
        <f>IF(A65="","",TEXT(A65,"yyyy-mm"))</f>
        <v/>
      </c>
      <c r="C65" s="10" t="inlineStr">
        <is>
          <t>USD</t>
        </is>
      </c>
      <c r="D65" s="10" t="n"/>
      <c r="E65" s="11">
        <f>IFERROR(VLOOKUP(D65,Recursos!$A$3:$F$100,2,FALSE),"")</f>
        <v/>
      </c>
      <c r="F65" s="10" t="n"/>
      <c r="G65" s="10" t="n"/>
      <c r="H65" s="14" t="n">
        <v>0</v>
      </c>
      <c r="I65" s="11">
        <f>IF(F65="Labor",IF(C65="USD",IFERROR(VLOOKUP(D65,Recursos!$A$3:$F$100,4,FALSE),""),IFERROR(VLOOKUP(D65,Recursos!$A$3:$F$100,5,FALSE),"")),"")</f>
        <v/>
      </c>
      <c r="J65" s="10" t="n">
        <v>0</v>
      </c>
      <c r="K65" s="11">
        <f>IF(F65="Labor",IF(C65="USD",H65*I65,(H65*I65)/Setup!$B$7),IF(C65="USD",J65,J65/Setup!$B$7))</f>
        <v/>
      </c>
      <c r="L65" s="11">
        <f>K65*Setup!$B$7</f>
        <v/>
      </c>
      <c r="M65" s="10" t="n"/>
      <c r="N65" s="10" t="inlineStr">
        <is>
          <t>S</t>
        </is>
      </c>
      <c r="O65" s="10" t="n"/>
      <c r="P65" s="10" t="n"/>
    </row>
    <row r="66">
      <c r="A66" s="10" t="n"/>
      <c r="B66" s="11">
        <f>IF(A66="","",TEXT(A66,"yyyy-mm"))</f>
        <v/>
      </c>
      <c r="C66" s="10" t="inlineStr">
        <is>
          <t>USD</t>
        </is>
      </c>
      <c r="D66" s="10" t="n"/>
      <c r="E66" s="11">
        <f>IFERROR(VLOOKUP(D66,Recursos!$A$3:$F$100,2,FALSE),"")</f>
        <v/>
      </c>
      <c r="F66" s="10" t="n"/>
      <c r="G66" s="10" t="n"/>
      <c r="H66" s="14" t="n">
        <v>0</v>
      </c>
      <c r="I66" s="11">
        <f>IF(F66="Labor",IF(C66="USD",IFERROR(VLOOKUP(D66,Recursos!$A$3:$F$100,4,FALSE),""),IFERROR(VLOOKUP(D66,Recursos!$A$3:$F$100,5,FALSE),"")),"")</f>
        <v/>
      </c>
      <c r="J66" s="10" t="n">
        <v>0</v>
      </c>
      <c r="K66" s="11">
        <f>IF(F66="Labor",IF(C66="USD",H66*I66,(H66*I66)/Setup!$B$7),IF(C66="USD",J66,J66/Setup!$B$7))</f>
        <v/>
      </c>
      <c r="L66" s="11">
        <f>K66*Setup!$B$7</f>
        <v/>
      </c>
      <c r="M66" s="10" t="n"/>
      <c r="N66" s="10" t="inlineStr">
        <is>
          <t>S</t>
        </is>
      </c>
      <c r="O66" s="10" t="n"/>
      <c r="P66" s="10" t="n"/>
    </row>
    <row r="67">
      <c r="A67" s="10" t="n"/>
      <c r="B67" s="11">
        <f>IF(A67="","",TEXT(A67,"yyyy-mm"))</f>
        <v/>
      </c>
      <c r="C67" s="10" t="inlineStr">
        <is>
          <t>USD</t>
        </is>
      </c>
      <c r="D67" s="10" t="n"/>
      <c r="E67" s="11">
        <f>IFERROR(VLOOKUP(D67,Recursos!$A$3:$F$100,2,FALSE),"")</f>
        <v/>
      </c>
      <c r="F67" s="10" t="n"/>
      <c r="G67" s="10" t="n"/>
      <c r="H67" s="14" t="n">
        <v>0</v>
      </c>
      <c r="I67" s="11">
        <f>IF(F67="Labor",IF(C67="USD",IFERROR(VLOOKUP(D67,Recursos!$A$3:$F$100,4,FALSE),""),IFERROR(VLOOKUP(D67,Recursos!$A$3:$F$100,5,FALSE),"")),"")</f>
        <v/>
      </c>
      <c r="J67" s="10" t="n">
        <v>0</v>
      </c>
      <c r="K67" s="11">
        <f>IF(F67="Labor",IF(C67="USD",H67*I67,(H67*I67)/Setup!$B$7),IF(C67="USD",J67,J67/Setup!$B$7))</f>
        <v/>
      </c>
      <c r="L67" s="11">
        <f>K67*Setup!$B$7</f>
        <v/>
      </c>
      <c r="M67" s="10" t="n"/>
      <c r="N67" s="10" t="inlineStr">
        <is>
          <t>S</t>
        </is>
      </c>
      <c r="O67" s="10" t="n"/>
      <c r="P67" s="10" t="n"/>
    </row>
    <row r="68">
      <c r="A68" s="10" t="n"/>
      <c r="B68" s="11">
        <f>IF(A68="","",TEXT(A68,"yyyy-mm"))</f>
        <v/>
      </c>
      <c r="C68" s="10" t="inlineStr">
        <is>
          <t>USD</t>
        </is>
      </c>
      <c r="D68" s="10" t="n"/>
      <c r="E68" s="11">
        <f>IFERROR(VLOOKUP(D68,Recursos!$A$3:$F$100,2,FALSE),"")</f>
        <v/>
      </c>
      <c r="F68" s="10" t="n"/>
      <c r="G68" s="10" t="n"/>
      <c r="H68" s="14" t="n">
        <v>0</v>
      </c>
      <c r="I68" s="11">
        <f>IF(F68="Labor",IF(C68="USD",IFERROR(VLOOKUP(D68,Recursos!$A$3:$F$100,4,FALSE),""),IFERROR(VLOOKUP(D68,Recursos!$A$3:$F$100,5,FALSE),"")),"")</f>
        <v/>
      </c>
      <c r="J68" s="10" t="n">
        <v>0</v>
      </c>
      <c r="K68" s="11">
        <f>IF(F68="Labor",IF(C68="USD",H68*I68,(H68*I68)/Setup!$B$7),IF(C68="USD",J68,J68/Setup!$B$7))</f>
        <v/>
      </c>
      <c r="L68" s="11">
        <f>K68*Setup!$B$7</f>
        <v/>
      </c>
      <c r="M68" s="10" t="n"/>
      <c r="N68" s="10" t="inlineStr">
        <is>
          <t>S</t>
        </is>
      </c>
      <c r="O68" s="10" t="n"/>
      <c r="P68" s="10" t="n"/>
    </row>
    <row r="69">
      <c r="A69" s="10" t="n"/>
      <c r="B69" s="11">
        <f>IF(A69="","",TEXT(A69,"yyyy-mm"))</f>
        <v/>
      </c>
      <c r="C69" s="10" t="inlineStr">
        <is>
          <t>USD</t>
        </is>
      </c>
      <c r="D69" s="10" t="n"/>
      <c r="E69" s="11">
        <f>IFERROR(VLOOKUP(D69,Recursos!$A$3:$F$100,2,FALSE),"")</f>
        <v/>
      </c>
      <c r="F69" s="10" t="n"/>
      <c r="G69" s="10" t="n"/>
      <c r="H69" s="14" t="n">
        <v>0</v>
      </c>
      <c r="I69" s="11">
        <f>IF(F69="Labor",IF(C69="USD",IFERROR(VLOOKUP(D69,Recursos!$A$3:$F$100,4,FALSE),""),IFERROR(VLOOKUP(D69,Recursos!$A$3:$F$100,5,FALSE),"")),"")</f>
        <v/>
      </c>
      <c r="J69" s="10" t="n">
        <v>0</v>
      </c>
      <c r="K69" s="11">
        <f>IF(F69="Labor",IF(C69="USD",H69*I69,(H69*I69)/Setup!$B$7),IF(C69="USD",J69,J69/Setup!$B$7))</f>
        <v/>
      </c>
      <c r="L69" s="11">
        <f>K69*Setup!$B$7</f>
        <v/>
      </c>
      <c r="M69" s="10" t="n"/>
      <c r="N69" s="10" t="inlineStr">
        <is>
          <t>S</t>
        </is>
      </c>
      <c r="O69" s="10" t="n"/>
      <c r="P69" s="10" t="n"/>
    </row>
    <row r="70">
      <c r="A70" s="10" t="n"/>
      <c r="B70" s="11">
        <f>IF(A70="","",TEXT(A70,"yyyy-mm"))</f>
        <v/>
      </c>
      <c r="C70" s="10" t="inlineStr">
        <is>
          <t>USD</t>
        </is>
      </c>
      <c r="D70" s="10" t="n"/>
      <c r="E70" s="11">
        <f>IFERROR(VLOOKUP(D70,Recursos!$A$3:$F$100,2,FALSE),"")</f>
        <v/>
      </c>
      <c r="F70" s="10" t="n"/>
      <c r="G70" s="10" t="n"/>
      <c r="H70" s="14" t="n">
        <v>0</v>
      </c>
      <c r="I70" s="11">
        <f>IF(F70="Labor",IF(C70="USD",IFERROR(VLOOKUP(D70,Recursos!$A$3:$F$100,4,FALSE),""),IFERROR(VLOOKUP(D70,Recursos!$A$3:$F$100,5,FALSE),"")),"")</f>
        <v/>
      </c>
      <c r="J70" s="10" t="n">
        <v>0</v>
      </c>
      <c r="K70" s="11">
        <f>IF(F70="Labor",IF(C70="USD",H70*I70,(H70*I70)/Setup!$B$7),IF(C70="USD",J70,J70/Setup!$B$7))</f>
        <v/>
      </c>
      <c r="L70" s="11">
        <f>K70*Setup!$B$7</f>
        <v/>
      </c>
      <c r="M70" s="10" t="n"/>
      <c r="N70" s="10" t="inlineStr">
        <is>
          <t>S</t>
        </is>
      </c>
      <c r="O70" s="10" t="n"/>
      <c r="P70" s="10" t="n"/>
    </row>
    <row r="71">
      <c r="A71" s="10" t="n"/>
      <c r="B71" s="11">
        <f>IF(A71="","",TEXT(A71,"yyyy-mm"))</f>
        <v/>
      </c>
      <c r="C71" s="10" t="inlineStr">
        <is>
          <t>USD</t>
        </is>
      </c>
      <c r="D71" s="10" t="n"/>
      <c r="E71" s="11">
        <f>IFERROR(VLOOKUP(D71,Recursos!$A$3:$F$100,2,FALSE),"")</f>
        <v/>
      </c>
      <c r="F71" s="10" t="n"/>
      <c r="G71" s="10" t="n"/>
      <c r="H71" s="14" t="n">
        <v>0</v>
      </c>
      <c r="I71" s="11">
        <f>IF(F71="Labor",IF(C71="USD",IFERROR(VLOOKUP(D71,Recursos!$A$3:$F$100,4,FALSE),""),IFERROR(VLOOKUP(D71,Recursos!$A$3:$F$100,5,FALSE),"")),"")</f>
        <v/>
      </c>
      <c r="J71" s="10" t="n">
        <v>0</v>
      </c>
      <c r="K71" s="11">
        <f>IF(F71="Labor",IF(C71="USD",H71*I71,(H71*I71)/Setup!$B$7),IF(C71="USD",J71,J71/Setup!$B$7))</f>
        <v/>
      </c>
      <c r="L71" s="11">
        <f>K71*Setup!$B$7</f>
        <v/>
      </c>
      <c r="M71" s="10" t="n"/>
      <c r="N71" s="10" t="inlineStr">
        <is>
          <t>S</t>
        </is>
      </c>
      <c r="O71" s="10" t="n"/>
      <c r="P71" s="10" t="n"/>
    </row>
    <row r="72">
      <c r="A72" s="10" t="n"/>
      <c r="B72" s="11">
        <f>IF(A72="","",TEXT(A72,"yyyy-mm"))</f>
        <v/>
      </c>
      <c r="C72" s="10" t="inlineStr">
        <is>
          <t>USD</t>
        </is>
      </c>
      <c r="D72" s="10" t="n"/>
      <c r="E72" s="11">
        <f>IFERROR(VLOOKUP(D72,Recursos!$A$3:$F$100,2,FALSE),"")</f>
        <v/>
      </c>
      <c r="F72" s="10" t="n"/>
      <c r="G72" s="10" t="n"/>
      <c r="H72" s="14" t="n">
        <v>0</v>
      </c>
      <c r="I72" s="11">
        <f>IF(F72="Labor",IF(C72="USD",IFERROR(VLOOKUP(D72,Recursos!$A$3:$F$100,4,FALSE),""),IFERROR(VLOOKUP(D72,Recursos!$A$3:$F$100,5,FALSE),"")),"")</f>
        <v/>
      </c>
      <c r="J72" s="10" t="n">
        <v>0</v>
      </c>
      <c r="K72" s="11">
        <f>IF(F72="Labor",IF(C72="USD",H72*I72,(H72*I72)/Setup!$B$7),IF(C72="USD",J72,J72/Setup!$B$7))</f>
        <v/>
      </c>
      <c r="L72" s="11">
        <f>K72*Setup!$B$7</f>
        <v/>
      </c>
      <c r="M72" s="10" t="n"/>
      <c r="N72" s="10" t="inlineStr">
        <is>
          <t>S</t>
        </is>
      </c>
      <c r="O72" s="10" t="n"/>
      <c r="P72" s="10" t="n"/>
    </row>
    <row r="73">
      <c r="A73" s="10" t="n"/>
      <c r="B73" s="11">
        <f>IF(A73="","",TEXT(A73,"yyyy-mm"))</f>
        <v/>
      </c>
      <c r="C73" s="10" t="inlineStr">
        <is>
          <t>USD</t>
        </is>
      </c>
      <c r="D73" s="10" t="n"/>
      <c r="E73" s="11">
        <f>IFERROR(VLOOKUP(D73,Recursos!$A$3:$F$100,2,FALSE),"")</f>
        <v/>
      </c>
      <c r="F73" s="10" t="n"/>
      <c r="G73" s="10" t="n"/>
      <c r="H73" s="14" t="n">
        <v>0</v>
      </c>
      <c r="I73" s="11">
        <f>IF(F73="Labor",IF(C73="USD",IFERROR(VLOOKUP(D73,Recursos!$A$3:$F$100,4,FALSE),""),IFERROR(VLOOKUP(D73,Recursos!$A$3:$F$100,5,FALSE),"")),"")</f>
        <v/>
      </c>
      <c r="J73" s="10" t="n">
        <v>0</v>
      </c>
      <c r="K73" s="11">
        <f>IF(F73="Labor",IF(C73="USD",H73*I73,(H73*I73)/Setup!$B$7),IF(C73="USD",J73,J73/Setup!$B$7))</f>
        <v/>
      </c>
      <c r="L73" s="11">
        <f>K73*Setup!$B$7</f>
        <v/>
      </c>
      <c r="M73" s="10" t="n"/>
      <c r="N73" s="10" t="inlineStr">
        <is>
          <t>S</t>
        </is>
      </c>
      <c r="O73" s="10" t="n"/>
      <c r="P73" s="10" t="n"/>
    </row>
    <row r="74">
      <c r="A74" s="10" t="n"/>
      <c r="B74" s="11">
        <f>IF(A74="","",TEXT(A74,"yyyy-mm"))</f>
        <v/>
      </c>
      <c r="C74" s="10" t="inlineStr">
        <is>
          <t>USD</t>
        </is>
      </c>
      <c r="D74" s="10" t="n"/>
      <c r="E74" s="11">
        <f>IFERROR(VLOOKUP(D74,Recursos!$A$3:$F$100,2,FALSE),"")</f>
        <v/>
      </c>
      <c r="F74" s="10" t="n"/>
      <c r="G74" s="10" t="n"/>
      <c r="H74" s="14" t="n">
        <v>0</v>
      </c>
      <c r="I74" s="11">
        <f>IF(F74="Labor",IF(C74="USD",IFERROR(VLOOKUP(D74,Recursos!$A$3:$F$100,4,FALSE),""),IFERROR(VLOOKUP(D74,Recursos!$A$3:$F$100,5,FALSE),"")),"")</f>
        <v/>
      </c>
      <c r="J74" s="10" t="n">
        <v>0</v>
      </c>
      <c r="K74" s="11">
        <f>IF(F74="Labor",IF(C74="USD",H74*I74,(H74*I74)/Setup!$B$7),IF(C74="USD",J74,J74/Setup!$B$7))</f>
        <v/>
      </c>
      <c r="L74" s="11">
        <f>K74*Setup!$B$7</f>
        <v/>
      </c>
      <c r="M74" s="10" t="n"/>
      <c r="N74" s="10" t="inlineStr">
        <is>
          <t>S</t>
        </is>
      </c>
      <c r="O74" s="10" t="n"/>
      <c r="P74" s="10" t="n"/>
    </row>
    <row r="75">
      <c r="A75" s="10" t="n"/>
      <c r="B75" s="11">
        <f>IF(A75="","",TEXT(A75,"yyyy-mm"))</f>
        <v/>
      </c>
      <c r="C75" s="10" t="inlineStr">
        <is>
          <t>USD</t>
        </is>
      </c>
      <c r="D75" s="10" t="n"/>
      <c r="E75" s="11">
        <f>IFERROR(VLOOKUP(D75,Recursos!$A$3:$F$100,2,FALSE),"")</f>
        <v/>
      </c>
      <c r="F75" s="10" t="n"/>
      <c r="G75" s="10" t="n"/>
      <c r="H75" s="14" t="n">
        <v>0</v>
      </c>
      <c r="I75" s="11">
        <f>IF(F75="Labor",IF(C75="USD",IFERROR(VLOOKUP(D75,Recursos!$A$3:$F$100,4,FALSE),""),IFERROR(VLOOKUP(D75,Recursos!$A$3:$F$100,5,FALSE),"")),"")</f>
        <v/>
      </c>
      <c r="J75" s="10" t="n">
        <v>0</v>
      </c>
      <c r="K75" s="11">
        <f>IF(F75="Labor",IF(C75="USD",H75*I75,(H75*I75)/Setup!$B$7),IF(C75="USD",J75,J75/Setup!$B$7))</f>
        <v/>
      </c>
      <c r="L75" s="11">
        <f>K75*Setup!$B$7</f>
        <v/>
      </c>
      <c r="M75" s="10" t="n"/>
      <c r="N75" s="10" t="inlineStr">
        <is>
          <t>S</t>
        </is>
      </c>
      <c r="O75" s="10" t="n"/>
      <c r="P75" s="10" t="n"/>
    </row>
    <row r="76">
      <c r="A76" s="10" t="n"/>
      <c r="B76" s="11">
        <f>IF(A76="","",TEXT(A76,"yyyy-mm"))</f>
        <v/>
      </c>
      <c r="C76" s="10" t="inlineStr">
        <is>
          <t>USD</t>
        </is>
      </c>
      <c r="D76" s="10" t="n"/>
      <c r="E76" s="11">
        <f>IFERROR(VLOOKUP(D76,Recursos!$A$3:$F$100,2,FALSE),"")</f>
        <v/>
      </c>
      <c r="F76" s="10" t="n"/>
      <c r="G76" s="10" t="n"/>
      <c r="H76" s="14" t="n">
        <v>0</v>
      </c>
      <c r="I76" s="11">
        <f>IF(F76="Labor",IF(C76="USD",IFERROR(VLOOKUP(D76,Recursos!$A$3:$F$100,4,FALSE),""),IFERROR(VLOOKUP(D76,Recursos!$A$3:$F$100,5,FALSE),"")),"")</f>
        <v/>
      </c>
      <c r="J76" s="10" t="n">
        <v>0</v>
      </c>
      <c r="K76" s="11">
        <f>IF(F76="Labor",IF(C76="USD",H76*I76,(H76*I76)/Setup!$B$7),IF(C76="USD",J76,J76/Setup!$B$7))</f>
        <v/>
      </c>
      <c r="L76" s="11">
        <f>K76*Setup!$B$7</f>
        <v/>
      </c>
      <c r="M76" s="10" t="n"/>
      <c r="N76" s="10" t="inlineStr">
        <is>
          <t>S</t>
        </is>
      </c>
      <c r="O76" s="10" t="n"/>
      <c r="P76" s="10" t="n"/>
    </row>
    <row r="77">
      <c r="A77" s="10" t="n"/>
      <c r="B77" s="11">
        <f>IF(A77="","",TEXT(A77,"yyyy-mm"))</f>
        <v/>
      </c>
      <c r="C77" s="10" t="inlineStr">
        <is>
          <t>USD</t>
        </is>
      </c>
      <c r="D77" s="10" t="n"/>
      <c r="E77" s="11">
        <f>IFERROR(VLOOKUP(D77,Recursos!$A$3:$F$100,2,FALSE),"")</f>
        <v/>
      </c>
      <c r="F77" s="10" t="n"/>
      <c r="G77" s="10" t="n"/>
      <c r="H77" s="14" t="n">
        <v>0</v>
      </c>
      <c r="I77" s="11">
        <f>IF(F77="Labor",IF(C77="USD",IFERROR(VLOOKUP(D77,Recursos!$A$3:$F$100,4,FALSE),""),IFERROR(VLOOKUP(D77,Recursos!$A$3:$F$100,5,FALSE),"")),"")</f>
        <v/>
      </c>
      <c r="J77" s="10" t="n">
        <v>0</v>
      </c>
      <c r="K77" s="11">
        <f>IF(F77="Labor",IF(C77="USD",H77*I77,(H77*I77)/Setup!$B$7),IF(C77="USD",J77,J77/Setup!$B$7))</f>
        <v/>
      </c>
      <c r="L77" s="11">
        <f>K77*Setup!$B$7</f>
        <v/>
      </c>
      <c r="M77" s="10" t="n"/>
      <c r="N77" s="10" t="inlineStr">
        <is>
          <t>S</t>
        </is>
      </c>
      <c r="O77" s="10" t="n"/>
      <c r="P77" s="10" t="n"/>
    </row>
    <row r="78">
      <c r="A78" s="10" t="n"/>
      <c r="B78" s="11">
        <f>IF(A78="","",TEXT(A78,"yyyy-mm"))</f>
        <v/>
      </c>
      <c r="C78" s="10" t="inlineStr">
        <is>
          <t>USD</t>
        </is>
      </c>
      <c r="D78" s="10" t="n"/>
      <c r="E78" s="11">
        <f>IFERROR(VLOOKUP(D78,Recursos!$A$3:$F$100,2,FALSE),"")</f>
        <v/>
      </c>
      <c r="F78" s="10" t="n"/>
      <c r="G78" s="10" t="n"/>
      <c r="H78" s="14" t="n">
        <v>0</v>
      </c>
      <c r="I78" s="11">
        <f>IF(F78="Labor",IF(C78="USD",IFERROR(VLOOKUP(D78,Recursos!$A$3:$F$100,4,FALSE),""),IFERROR(VLOOKUP(D78,Recursos!$A$3:$F$100,5,FALSE),"")),"")</f>
        <v/>
      </c>
      <c r="J78" s="10" t="n">
        <v>0</v>
      </c>
      <c r="K78" s="11">
        <f>IF(F78="Labor",IF(C78="USD",H78*I78,(H78*I78)/Setup!$B$7),IF(C78="USD",J78,J78/Setup!$B$7))</f>
        <v/>
      </c>
      <c r="L78" s="11">
        <f>K78*Setup!$B$7</f>
        <v/>
      </c>
      <c r="M78" s="10" t="n"/>
      <c r="N78" s="10" t="inlineStr">
        <is>
          <t>S</t>
        </is>
      </c>
      <c r="O78" s="10" t="n"/>
      <c r="P78" s="10" t="n"/>
    </row>
    <row r="79">
      <c r="A79" s="10" t="n"/>
      <c r="B79" s="11">
        <f>IF(A79="","",TEXT(A79,"yyyy-mm"))</f>
        <v/>
      </c>
      <c r="C79" s="10" t="inlineStr">
        <is>
          <t>USD</t>
        </is>
      </c>
      <c r="D79" s="10" t="n"/>
      <c r="E79" s="11">
        <f>IFERROR(VLOOKUP(D79,Recursos!$A$3:$F$100,2,FALSE),"")</f>
        <v/>
      </c>
      <c r="F79" s="10" t="n"/>
      <c r="G79" s="10" t="n"/>
      <c r="H79" s="14" t="n">
        <v>0</v>
      </c>
      <c r="I79" s="11">
        <f>IF(F79="Labor",IF(C79="USD",IFERROR(VLOOKUP(D79,Recursos!$A$3:$F$100,4,FALSE),""),IFERROR(VLOOKUP(D79,Recursos!$A$3:$F$100,5,FALSE),"")),"")</f>
        <v/>
      </c>
      <c r="J79" s="10" t="n">
        <v>0</v>
      </c>
      <c r="K79" s="11">
        <f>IF(F79="Labor",IF(C79="USD",H79*I79,(H79*I79)/Setup!$B$7),IF(C79="USD",J79,J79/Setup!$B$7))</f>
        <v/>
      </c>
      <c r="L79" s="11">
        <f>K79*Setup!$B$7</f>
        <v/>
      </c>
      <c r="M79" s="10" t="n"/>
      <c r="N79" s="10" t="inlineStr">
        <is>
          <t>S</t>
        </is>
      </c>
      <c r="O79" s="10" t="n"/>
      <c r="P79" s="10" t="n"/>
    </row>
    <row r="80">
      <c r="A80" s="10" t="n"/>
      <c r="B80" s="11">
        <f>IF(A80="","",TEXT(A80,"yyyy-mm"))</f>
        <v/>
      </c>
      <c r="C80" s="10" t="inlineStr">
        <is>
          <t>USD</t>
        </is>
      </c>
      <c r="D80" s="10" t="n"/>
      <c r="E80" s="11">
        <f>IFERROR(VLOOKUP(D80,Recursos!$A$3:$F$100,2,FALSE),"")</f>
        <v/>
      </c>
      <c r="F80" s="10" t="n"/>
      <c r="G80" s="10" t="n"/>
      <c r="H80" s="14" t="n">
        <v>0</v>
      </c>
      <c r="I80" s="11">
        <f>IF(F80="Labor",IF(C80="USD",IFERROR(VLOOKUP(D80,Recursos!$A$3:$F$100,4,FALSE),""),IFERROR(VLOOKUP(D80,Recursos!$A$3:$F$100,5,FALSE),"")),"")</f>
        <v/>
      </c>
      <c r="J80" s="10" t="n">
        <v>0</v>
      </c>
      <c r="K80" s="11">
        <f>IF(F80="Labor",IF(C80="USD",H80*I80,(H80*I80)/Setup!$B$7),IF(C80="USD",J80,J80/Setup!$B$7))</f>
        <v/>
      </c>
      <c r="L80" s="11">
        <f>K80*Setup!$B$7</f>
        <v/>
      </c>
      <c r="M80" s="10" t="n"/>
      <c r="N80" s="10" t="inlineStr">
        <is>
          <t>S</t>
        </is>
      </c>
      <c r="O80" s="10" t="n"/>
      <c r="P80" s="10" t="n"/>
    </row>
    <row r="81">
      <c r="A81" s="10" t="n"/>
      <c r="B81" s="11">
        <f>IF(A81="","",TEXT(A81,"yyyy-mm"))</f>
        <v/>
      </c>
      <c r="C81" s="10" t="inlineStr">
        <is>
          <t>USD</t>
        </is>
      </c>
      <c r="D81" s="10" t="n"/>
      <c r="E81" s="11">
        <f>IFERROR(VLOOKUP(D81,Recursos!$A$3:$F$100,2,FALSE),"")</f>
        <v/>
      </c>
      <c r="F81" s="10" t="n"/>
      <c r="G81" s="10" t="n"/>
      <c r="H81" s="14" t="n">
        <v>0</v>
      </c>
      <c r="I81" s="11">
        <f>IF(F81="Labor",IF(C81="USD",IFERROR(VLOOKUP(D81,Recursos!$A$3:$F$100,4,FALSE),""),IFERROR(VLOOKUP(D81,Recursos!$A$3:$F$100,5,FALSE),"")),"")</f>
        <v/>
      </c>
      <c r="J81" s="10" t="n">
        <v>0</v>
      </c>
      <c r="K81" s="11">
        <f>IF(F81="Labor",IF(C81="USD",H81*I81,(H81*I81)/Setup!$B$7),IF(C81="USD",J81,J81/Setup!$B$7))</f>
        <v/>
      </c>
      <c r="L81" s="11">
        <f>K81*Setup!$B$7</f>
        <v/>
      </c>
      <c r="M81" s="10" t="n"/>
      <c r="N81" s="10" t="inlineStr">
        <is>
          <t>S</t>
        </is>
      </c>
      <c r="O81" s="10" t="n"/>
      <c r="P81" s="10" t="n"/>
    </row>
    <row r="82">
      <c r="A82" s="10" t="n"/>
      <c r="B82" s="11">
        <f>IF(A82="","",TEXT(A82,"yyyy-mm"))</f>
        <v/>
      </c>
      <c r="C82" s="10" t="inlineStr">
        <is>
          <t>USD</t>
        </is>
      </c>
      <c r="D82" s="10" t="n"/>
      <c r="E82" s="11">
        <f>IFERROR(VLOOKUP(D82,Recursos!$A$3:$F$100,2,FALSE),"")</f>
        <v/>
      </c>
      <c r="F82" s="10" t="n"/>
      <c r="G82" s="10" t="n"/>
      <c r="H82" s="14" t="n">
        <v>0</v>
      </c>
      <c r="I82" s="11">
        <f>IF(F82="Labor",IF(C82="USD",IFERROR(VLOOKUP(D82,Recursos!$A$3:$F$100,4,FALSE),""),IFERROR(VLOOKUP(D82,Recursos!$A$3:$F$100,5,FALSE),"")),"")</f>
        <v/>
      </c>
      <c r="J82" s="10" t="n">
        <v>0</v>
      </c>
      <c r="K82" s="11">
        <f>IF(F82="Labor",IF(C82="USD",H82*I82,(H82*I82)/Setup!$B$7),IF(C82="USD",J82,J82/Setup!$B$7))</f>
        <v/>
      </c>
      <c r="L82" s="11">
        <f>K82*Setup!$B$7</f>
        <v/>
      </c>
      <c r="M82" s="10" t="n"/>
      <c r="N82" s="10" t="inlineStr">
        <is>
          <t>S</t>
        </is>
      </c>
      <c r="O82" s="10" t="n"/>
      <c r="P82" s="10" t="n"/>
    </row>
    <row r="83">
      <c r="A83" s="10" t="n"/>
      <c r="B83" s="11">
        <f>IF(A83="","",TEXT(A83,"yyyy-mm"))</f>
        <v/>
      </c>
      <c r="C83" s="10" t="inlineStr">
        <is>
          <t>USD</t>
        </is>
      </c>
      <c r="D83" s="10" t="n"/>
      <c r="E83" s="11">
        <f>IFERROR(VLOOKUP(D83,Recursos!$A$3:$F$100,2,FALSE),"")</f>
        <v/>
      </c>
      <c r="F83" s="10" t="n"/>
      <c r="G83" s="10" t="n"/>
      <c r="H83" s="14" t="n">
        <v>0</v>
      </c>
      <c r="I83" s="11">
        <f>IF(F83="Labor",IF(C83="USD",IFERROR(VLOOKUP(D83,Recursos!$A$3:$F$100,4,FALSE),""),IFERROR(VLOOKUP(D83,Recursos!$A$3:$F$100,5,FALSE),"")),"")</f>
        <v/>
      </c>
      <c r="J83" s="10" t="n">
        <v>0</v>
      </c>
      <c r="K83" s="11">
        <f>IF(F83="Labor",IF(C83="USD",H83*I83,(H83*I83)/Setup!$B$7),IF(C83="USD",J83,J83/Setup!$B$7))</f>
        <v/>
      </c>
      <c r="L83" s="11">
        <f>K83*Setup!$B$7</f>
        <v/>
      </c>
      <c r="M83" s="10" t="n"/>
      <c r="N83" s="10" t="inlineStr">
        <is>
          <t>S</t>
        </is>
      </c>
      <c r="O83" s="10" t="n"/>
      <c r="P83" s="10" t="n"/>
    </row>
    <row r="84">
      <c r="A84" s="10" t="n"/>
      <c r="B84" s="11">
        <f>IF(A84="","",TEXT(A84,"yyyy-mm"))</f>
        <v/>
      </c>
      <c r="C84" s="10" t="inlineStr">
        <is>
          <t>USD</t>
        </is>
      </c>
      <c r="D84" s="10" t="n"/>
      <c r="E84" s="11">
        <f>IFERROR(VLOOKUP(D84,Recursos!$A$3:$F$100,2,FALSE),"")</f>
        <v/>
      </c>
      <c r="F84" s="10" t="n"/>
      <c r="G84" s="10" t="n"/>
      <c r="H84" s="14" t="n">
        <v>0</v>
      </c>
      <c r="I84" s="11">
        <f>IF(F84="Labor",IF(C84="USD",IFERROR(VLOOKUP(D84,Recursos!$A$3:$F$100,4,FALSE),""),IFERROR(VLOOKUP(D84,Recursos!$A$3:$F$100,5,FALSE),"")),"")</f>
        <v/>
      </c>
      <c r="J84" s="10" t="n">
        <v>0</v>
      </c>
      <c r="K84" s="11">
        <f>IF(F84="Labor",IF(C84="USD",H84*I84,(H84*I84)/Setup!$B$7),IF(C84="USD",J84,J84/Setup!$B$7))</f>
        <v/>
      </c>
      <c r="L84" s="11">
        <f>K84*Setup!$B$7</f>
        <v/>
      </c>
      <c r="M84" s="10" t="n"/>
      <c r="N84" s="10" t="inlineStr">
        <is>
          <t>S</t>
        </is>
      </c>
      <c r="O84" s="10" t="n"/>
      <c r="P84" s="10" t="n"/>
    </row>
    <row r="85">
      <c r="A85" s="10" t="n"/>
      <c r="B85" s="11">
        <f>IF(A85="","",TEXT(A85,"yyyy-mm"))</f>
        <v/>
      </c>
      <c r="C85" s="10" t="inlineStr">
        <is>
          <t>USD</t>
        </is>
      </c>
      <c r="D85" s="10" t="n"/>
      <c r="E85" s="11">
        <f>IFERROR(VLOOKUP(D85,Recursos!$A$3:$F$100,2,FALSE),"")</f>
        <v/>
      </c>
      <c r="F85" s="10" t="n"/>
      <c r="G85" s="10" t="n"/>
      <c r="H85" s="14" t="n">
        <v>0</v>
      </c>
      <c r="I85" s="11">
        <f>IF(F85="Labor",IF(C85="USD",IFERROR(VLOOKUP(D85,Recursos!$A$3:$F$100,4,FALSE),""),IFERROR(VLOOKUP(D85,Recursos!$A$3:$F$100,5,FALSE),"")),"")</f>
        <v/>
      </c>
      <c r="J85" s="10" t="n">
        <v>0</v>
      </c>
      <c r="K85" s="11">
        <f>IF(F85="Labor",IF(C85="USD",H85*I85,(H85*I85)/Setup!$B$7),IF(C85="USD",J85,J85/Setup!$B$7))</f>
        <v/>
      </c>
      <c r="L85" s="11">
        <f>K85*Setup!$B$7</f>
        <v/>
      </c>
      <c r="M85" s="10" t="n"/>
      <c r="N85" s="10" t="inlineStr">
        <is>
          <t>S</t>
        </is>
      </c>
      <c r="O85" s="10" t="n"/>
      <c r="P85" s="10" t="n"/>
    </row>
    <row r="86">
      <c r="A86" s="10" t="n"/>
      <c r="B86" s="11">
        <f>IF(A86="","",TEXT(A86,"yyyy-mm"))</f>
        <v/>
      </c>
      <c r="C86" s="10" t="inlineStr">
        <is>
          <t>USD</t>
        </is>
      </c>
      <c r="D86" s="10" t="n"/>
      <c r="E86" s="11">
        <f>IFERROR(VLOOKUP(D86,Recursos!$A$3:$F$100,2,FALSE),"")</f>
        <v/>
      </c>
      <c r="F86" s="10" t="n"/>
      <c r="G86" s="10" t="n"/>
      <c r="H86" s="14" t="n">
        <v>0</v>
      </c>
      <c r="I86" s="11">
        <f>IF(F86="Labor",IF(C86="USD",IFERROR(VLOOKUP(D86,Recursos!$A$3:$F$100,4,FALSE),""),IFERROR(VLOOKUP(D86,Recursos!$A$3:$F$100,5,FALSE),"")),"")</f>
        <v/>
      </c>
      <c r="J86" s="10" t="n">
        <v>0</v>
      </c>
      <c r="K86" s="11">
        <f>IF(F86="Labor",IF(C86="USD",H86*I86,(H86*I86)/Setup!$B$7),IF(C86="USD",J86,J86/Setup!$B$7))</f>
        <v/>
      </c>
      <c r="L86" s="11">
        <f>K86*Setup!$B$7</f>
        <v/>
      </c>
      <c r="M86" s="10" t="n"/>
      <c r="N86" s="10" t="inlineStr">
        <is>
          <t>S</t>
        </is>
      </c>
      <c r="O86" s="10" t="n"/>
      <c r="P86" s="10" t="n"/>
    </row>
    <row r="87">
      <c r="A87" s="10" t="n"/>
      <c r="B87" s="11">
        <f>IF(A87="","",TEXT(A87,"yyyy-mm"))</f>
        <v/>
      </c>
      <c r="C87" s="10" t="inlineStr">
        <is>
          <t>USD</t>
        </is>
      </c>
      <c r="D87" s="10" t="n"/>
      <c r="E87" s="11">
        <f>IFERROR(VLOOKUP(D87,Recursos!$A$3:$F$100,2,FALSE),"")</f>
        <v/>
      </c>
      <c r="F87" s="10" t="n"/>
      <c r="G87" s="10" t="n"/>
      <c r="H87" s="14" t="n">
        <v>0</v>
      </c>
      <c r="I87" s="11">
        <f>IF(F87="Labor",IF(C87="USD",IFERROR(VLOOKUP(D87,Recursos!$A$3:$F$100,4,FALSE),""),IFERROR(VLOOKUP(D87,Recursos!$A$3:$F$100,5,FALSE),"")),"")</f>
        <v/>
      </c>
      <c r="J87" s="10" t="n">
        <v>0</v>
      </c>
      <c r="K87" s="11">
        <f>IF(F87="Labor",IF(C87="USD",H87*I87,(H87*I87)/Setup!$B$7),IF(C87="USD",J87,J87/Setup!$B$7))</f>
        <v/>
      </c>
      <c r="L87" s="11">
        <f>K87*Setup!$B$7</f>
        <v/>
      </c>
      <c r="M87" s="10" t="n"/>
      <c r="N87" s="10" t="inlineStr">
        <is>
          <t>S</t>
        </is>
      </c>
      <c r="O87" s="10" t="n"/>
      <c r="P87" s="10" t="n"/>
    </row>
    <row r="88">
      <c r="A88" s="10" t="n"/>
      <c r="B88" s="11">
        <f>IF(A88="","",TEXT(A88,"yyyy-mm"))</f>
        <v/>
      </c>
      <c r="C88" s="10" t="inlineStr">
        <is>
          <t>USD</t>
        </is>
      </c>
      <c r="D88" s="10" t="n"/>
      <c r="E88" s="11">
        <f>IFERROR(VLOOKUP(D88,Recursos!$A$3:$F$100,2,FALSE),"")</f>
        <v/>
      </c>
      <c r="F88" s="10" t="n"/>
      <c r="G88" s="10" t="n"/>
      <c r="H88" s="14" t="n">
        <v>0</v>
      </c>
      <c r="I88" s="11">
        <f>IF(F88="Labor",IF(C88="USD",IFERROR(VLOOKUP(D88,Recursos!$A$3:$F$100,4,FALSE),""),IFERROR(VLOOKUP(D88,Recursos!$A$3:$F$100,5,FALSE),"")),"")</f>
        <v/>
      </c>
      <c r="J88" s="10" t="n">
        <v>0</v>
      </c>
      <c r="K88" s="11">
        <f>IF(F88="Labor",IF(C88="USD",H88*I88,(H88*I88)/Setup!$B$7),IF(C88="USD",J88,J88/Setup!$B$7))</f>
        <v/>
      </c>
      <c r="L88" s="11">
        <f>K88*Setup!$B$7</f>
        <v/>
      </c>
      <c r="M88" s="10" t="n"/>
      <c r="N88" s="10" t="inlineStr">
        <is>
          <t>S</t>
        </is>
      </c>
      <c r="O88" s="10" t="n"/>
      <c r="P88" s="10" t="n"/>
    </row>
    <row r="89">
      <c r="A89" s="10" t="n"/>
      <c r="B89" s="11">
        <f>IF(A89="","",TEXT(A89,"yyyy-mm"))</f>
        <v/>
      </c>
      <c r="C89" s="10" t="inlineStr">
        <is>
          <t>USD</t>
        </is>
      </c>
      <c r="D89" s="10" t="n"/>
      <c r="E89" s="11">
        <f>IFERROR(VLOOKUP(D89,Recursos!$A$3:$F$100,2,FALSE),"")</f>
        <v/>
      </c>
      <c r="F89" s="10" t="n"/>
      <c r="G89" s="10" t="n"/>
      <c r="H89" s="14" t="n">
        <v>0</v>
      </c>
      <c r="I89" s="11">
        <f>IF(F89="Labor",IF(C89="USD",IFERROR(VLOOKUP(D89,Recursos!$A$3:$F$100,4,FALSE),""),IFERROR(VLOOKUP(D89,Recursos!$A$3:$F$100,5,FALSE),"")),"")</f>
        <v/>
      </c>
      <c r="J89" s="10" t="n">
        <v>0</v>
      </c>
      <c r="K89" s="11">
        <f>IF(F89="Labor",IF(C89="USD",H89*I89,(H89*I89)/Setup!$B$7),IF(C89="USD",J89,J89/Setup!$B$7))</f>
        <v/>
      </c>
      <c r="L89" s="11">
        <f>K89*Setup!$B$7</f>
        <v/>
      </c>
      <c r="M89" s="10" t="n"/>
      <c r="N89" s="10" t="inlineStr">
        <is>
          <t>S</t>
        </is>
      </c>
      <c r="O89" s="10" t="n"/>
      <c r="P89" s="10" t="n"/>
    </row>
    <row r="90">
      <c r="A90" s="10" t="n"/>
      <c r="B90" s="11">
        <f>IF(A90="","",TEXT(A90,"yyyy-mm"))</f>
        <v/>
      </c>
      <c r="C90" s="10" t="inlineStr">
        <is>
          <t>USD</t>
        </is>
      </c>
      <c r="D90" s="10" t="n"/>
      <c r="E90" s="11">
        <f>IFERROR(VLOOKUP(D90,Recursos!$A$3:$F$100,2,FALSE),"")</f>
        <v/>
      </c>
      <c r="F90" s="10" t="n"/>
      <c r="G90" s="10" t="n"/>
      <c r="H90" s="14" t="n">
        <v>0</v>
      </c>
      <c r="I90" s="11">
        <f>IF(F90="Labor",IF(C90="USD",IFERROR(VLOOKUP(D90,Recursos!$A$3:$F$100,4,FALSE),""),IFERROR(VLOOKUP(D90,Recursos!$A$3:$F$100,5,FALSE),"")),"")</f>
        <v/>
      </c>
      <c r="J90" s="10" t="n">
        <v>0</v>
      </c>
      <c r="K90" s="11">
        <f>IF(F90="Labor",IF(C90="USD",H90*I90,(H90*I90)/Setup!$B$7),IF(C90="USD",J90,J90/Setup!$B$7))</f>
        <v/>
      </c>
      <c r="L90" s="11">
        <f>K90*Setup!$B$7</f>
        <v/>
      </c>
      <c r="M90" s="10" t="n"/>
      <c r="N90" s="10" t="inlineStr">
        <is>
          <t>S</t>
        </is>
      </c>
      <c r="O90" s="10" t="n"/>
      <c r="P90" s="10" t="n"/>
    </row>
    <row r="91">
      <c r="A91" s="10" t="n"/>
      <c r="B91" s="11">
        <f>IF(A91="","",TEXT(A91,"yyyy-mm"))</f>
        <v/>
      </c>
      <c r="C91" s="10" t="inlineStr">
        <is>
          <t>USD</t>
        </is>
      </c>
      <c r="D91" s="10" t="n"/>
      <c r="E91" s="11">
        <f>IFERROR(VLOOKUP(D91,Recursos!$A$3:$F$100,2,FALSE),"")</f>
        <v/>
      </c>
      <c r="F91" s="10" t="n"/>
      <c r="G91" s="10" t="n"/>
      <c r="H91" s="14" t="n">
        <v>0</v>
      </c>
      <c r="I91" s="11">
        <f>IF(F91="Labor",IF(C91="USD",IFERROR(VLOOKUP(D91,Recursos!$A$3:$F$100,4,FALSE),""),IFERROR(VLOOKUP(D91,Recursos!$A$3:$F$100,5,FALSE),"")),"")</f>
        <v/>
      </c>
      <c r="J91" s="10" t="n">
        <v>0</v>
      </c>
      <c r="K91" s="11">
        <f>IF(F91="Labor",IF(C91="USD",H91*I91,(H91*I91)/Setup!$B$7),IF(C91="USD",J91,J91/Setup!$B$7))</f>
        <v/>
      </c>
      <c r="L91" s="11">
        <f>K91*Setup!$B$7</f>
        <v/>
      </c>
      <c r="M91" s="10" t="n"/>
      <c r="N91" s="10" t="inlineStr">
        <is>
          <t>S</t>
        </is>
      </c>
      <c r="O91" s="10" t="n"/>
      <c r="P91" s="10" t="n"/>
    </row>
    <row r="92">
      <c r="A92" s="10" t="n"/>
      <c r="B92" s="11">
        <f>IF(A92="","",TEXT(A92,"yyyy-mm"))</f>
        <v/>
      </c>
      <c r="C92" s="10" t="inlineStr">
        <is>
          <t>USD</t>
        </is>
      </c>
      <c r="D92" s="10" t="n"/>
      <c r="E92" s="11">
        <f>IFERROR(VLOOKUP(D92,Recursos!$A$3:$F$100,2,FALSE),"")</f>
        <v/>
      </c>
      <c r="F92" s="10" t="n"/>
      <c r="G92" s="10" t="n"/>
      <c r="H92" s="14" t="n">
        <v>0</v>
      </c>
      <c r="I92" s="11">
        <f>IF(F92="Labor",IF(C92="USD",IFERROR(VLOOKUP(D92,Recursos!$A$3:$F$100,4,FALSE),""),IFERROR(VLOOKUP(D92,Recursos!$A$3:$F$100,5,FALSE),"")),"")</f>
        <v/>
      </c>
      <c r="J92" s="10" t="n">
        <v>0</v>
      </c>
      <c r="K92" s="11">
        <f>IF(F92="Labor",IF(C92="USD",H92*I92,(H92*I92)/Setup!$B$7),IF(C92="USD",J92,J92/Setup!$B$7))</f>
        <v/>
      </c>
      <c r="L92" s="11">
        <f>K92*Setup!$B$7</f>
        <v/>
      </c>
      <c r="M92" s="10" t="n"/>
      <c r="N92" s="10" t="inlineStr">
        <is>
          <t>S</t>
        </is>
      </c>
      <c r="O92" s="10" t="n"/>
      <c r="P92" s="10" t="n"/>
    </row>
    <row r="93">
      <c r="A93" s="10" t="n"/>
      <c r="B93" s="11">
        <f>IF(A93="","",TEXT(A93,"yyyy-mm"))</f>
        <v/>
      </c>
      <c r="C93" s="10" t="inlineStr">
        <is>
          <t>USD</t>
        </is>
      </c>
      <c r="D93" s="10" t="n"/>
      <c r="E93" s="11">
        <f>IFERROR(VLOOKUP(D93,Recursos!$A$3:$F$100,2,FALSE),"")</f>
        <v/>
      </c>
      <c r="F93" s="10" t="n"/>
      <c r="G93" s="10" t="n"/>
      <c r="H93" s="14" t="n">
        <v>0</v>
      </c>
      <c r="I93" s="11">
        <f>IF(F93="Labor",IF(C93="USD",IFERROR(VLOOKUP(D93,Recursos!$A$3:$F$100,4,FALSE),""),IFERROR(VLOOKUP(D93,Recursos!$A$3:$F$100,5,FALSE),"")),"")</f>
        <v/>
      </c>
      <c r="J93" s="10" t="n">
        <v>0</v>
      </c>
      <c r="K93" s="11">
        <f>IF(F93="Labor",IF(C93="USD",H93*I93,(H93*I93)/Setup!$B$7),IF(C93="USD",J93,J93/Setup!$B$7))</f>
        <v/>
      </c>
      <c r="L93" s="11">
        <f>K93*Setup!$B$7</f>
        <v/>
      </c>
      <c r="M93" s="10" t="n"/>
      <c r="N93" s="10" t="inlineStr">
        <is>
          <t>S</t>
        </is>
      </c>
      <c r="O93" s="10" t="n"/>
      <c r="P93" s="10" t="n"/>
    </row>
    <row r="94">
      <c r="A94" s="10" t="n"/>
      <c r="B94" s="11">
        <f>IF(A94="","",TEXT(A94,"yyyy-mm"))</f>
        <v/>
      </c>
      <c r="C94" s="10" t="inlineStr">
        <is>
          <t>USD</t>
        </is>
      </c>
      <c r="D94" s="10" t="n"/>
      <c r="E94" s="11">
        <f>IFERROR(VLOOKUP(D94,Recursos!$A$3:$F$100,2,FALSE),"")</f>
        <v/>
      </c>
      <c r="F94" s="10" t="n"/>
      <c r="G94" s="10" t="n"/>
      <c r="H94" s="14" t="n">
        <v>0</v>
      </c>
      <c r="I94" s="11">
        <f>IF(F94="Labor",IF(C94="USD",IFERROR(VLOOKUP(D94,Recursos!$A$3:$F$100,4,FALSE),""),IFERROR(VLOOKUP(D94,Recursos!$A$3:$F$100,5,FALSE),"")),"")</f>
        <v/>
      </c>
      <c r="J94" s="10" t="n">
        <v>0</v>
      </c>
      <c r="K94" s="11">
        <f>IF(F94="Labor",IF(C94="USD",H94*I94,(H94*I94)/Setup!$B$7),IF(C94="USD",J94,J94/Setup!$B$7))</f>
        <v/>
      </c>
      <c r="L94" s="11">
        <f>K94*Setup!$B$7</f>
        <v/>
      </c>
      <c r="M94" s="10" t="n"/>
      <c r="N94" s="10" t="inlineStr">
        <is>
          <t>S</t>
        </is>
      </c>
      <c r="O94" s="10" t="n"/>
      <c r="P94" s="10" t="n"/>
    </row>
    <row r="95">
      <c r="A95" s="10" t="n"/>
      <c r="B95" s="11">
        <f>IF(A95="","",TEXT(A95,"yyyy-mm"))</f>
        <v/>
      </c>
      <c r="C95" s="10" t="inlineStr">
        <is>
          <t>USD</t>
        </is>
      </c>
      <c r="D95" s="10" t="n"/>
      <c r="E95" s="11">
        <f>IFERROR(VLOOKUP(D95,Recursos!$A$3:$F$100,2,FALSE),"")</f>
        <v/>
      </c>
      <c r="F95" s="10" t="n"/>
      <c r="G95" s="10" t="n"/>
      <c r="H95" s="14" t="n">
        <v>0</v>
      </c>
      <c r="I95" s="11">
        <f>IF(F95="Labor",IF(C95="USD",IFERROR(VLOOKUP(D95,Recursos!$A$3:$F$100,4,FALSE),""),IFERROR(VLOOKUP(D95,Recursos!$A$3:$F$100,5,FALSE),"")),"")</f>
        <v/>
      </c>
      <c r="J95" s="10" t="n">
        <v>0</v>
      </c>
      <c r="K95" s="11">
        <f>IF(F95="Labor",IF(C95="USD",H95*I95,(H95*I95)/Setup!$B$7),IF(C95="USD",J95,J95/Setup!$B$7))</f>
        <v/>
      </c>
      <c r="L95" s="11">
        <f>K95*Setup!$B$7</f>
        <v/>
      </c>
      <c r="M95" s="10" t="n"/>
      <c r="N95" s="10" t="inlineStr">
        <is>
          <t>S</t>
        </is>
      </c>
      <c r="O95" s="10" t="n"/>
      <c r="P95" s="10" t="n"/>
    </row>
    <row r="96">
      <c r="A96" s="10" t="n"/>
      <c r="B96" s="11">
        <f>IF(A96="","",TEXT(A96,"yyyy-mm"))</f>
        <v/>
      </c>
      <c r="C96" s="10" t="inlineStr">
        <is>
          <t>USD</t>
        </is>
      </c>
      <c r="D96" s="10" t="n"/>
      <c r="E96" s="11">
        <f>IFERROR(VLOOKUP(D96,Recursos!$A$3:$F$100,2,FALSE),"")</f>
        <v/>
      </c>
      <c r="F96" s="10" t="n"/>
      <c r="G96" s="10" t="n"/>
      <c r="H96" s="14" t="n">
        <v>0</v>
      </c>
      <c r="I96" s="11">
        <f>IF(F96="Labor",IF(C96="USD",IFERROR(VLOOKUP(D96,Recursos!$A$3:$F$100,4,FALSE),""),IFERROR(VLOOKUP(D96,Recursos!$A$3:$F$100,5,FALSE),"")),"")</f>
        <v/>
      </c>
      <c r="J96" s="10" t="n">
        <v>0</v>
      </c>
      <c r="K96" s="11">
        <f>IF(F96="Labor",IF(C96="USD",H96*I96,(H96*I96)/Setup!$B$7),IF(C96="USD",J96,J96/Setup!$B$7))</f>
        <v/>
      </c>
      <c r="L96" s="11">
        <f>K96*Setup!$B$7</f>
        <v/>
      </c>
      <c r="M96" s="10" t="n"/>
      <c r="N96" s="10" t="inlineStr">
        <is>
          <t>S</t>
        </is>
      </c>
      <c r="O96" s="10" t="n"/>
      <c r="P96" s="10" t="n"/>
    </row>
    <row r="97">
      <c r="A97" s="10" t="n"/>
      <c r="B97" s="11">
        <f>IF(A97="","",TEXT(A97,"yyyy-mm"))</f>
        <v/>
      </c>
      <c r="C97" s="10" t="inlineStr">
        <is>
          <t>USD</t>
        </is>
      </c>
      <c r="D97" s="10" t="n"/>
      <c r="E97" s="11">
        <f>IFERROR(VLOOKUP(D97,Recursos!$A$3:$F$100,2,FALSE),"")</f>
        <v/>
      </c>
      <c r="F97" s="10" t="n"/>
      <c r="G97" s="10" t="n"/>
      <c r="H97" s="14" t="n">
        <v>0</v>
      </c>
      <c r="I97" s="11">
        <f>IF(F97="Labor",IF(C97="USD",IFERROR(VLOOKUP(D97,Recursos!$A$3:$F$100,4,FALSE),""),IFERROR(VLOOKUP(D97,Recursos!$A$3:$F$100,5,FALSE),"")),"")</f>
        <v/>
      </c>
      <c r="J97" s="10" t="n">
        <v>0</v>
      </c>
      <c r="K97" s="11">
        <f>IF(F97="Labor",IF(C97="USD",H97*I97,(H97*I97)/Setup!$B$7),IF(C97="USD",J97,J97/Setup!$B$7))</f>
        <v/>
      </c>
      <c r="L97" s="11">
        <f>K97*Setup!$B$7</f>
        <v/>
      </c>
      <c r="M97" s="10" t="n"/>
      <c r="N97" s="10" t="inlineStr">
        <is>
          <t>S</t>
        </is>
      </c>
      <c r="O97" s="10" t="n"/>
      <c r="P97" s="10" t="n"/>
    </row>
    <row r="98">
      <c r="A98" s="10" t="n"/>
      <c r="B98" s="11">
        <f>IF(A98="","",TEXT(A98,"yyyy-mm"))</f>
        <v/>
      </c>
      <c r="C98" s="10" t="inlineStr">
        <is>
          <t>USD</t>
        </is>
      </c>
      <c r="D98" s="10" t="n"/>
      <c r="E98" s="11">
        <f>IFERROR(VLOOKUP(D98,Recursos!$A$3:$F$100,2,FALSE),"")</f>
        <v/>
      </c>
      <c r="F98" s="10" t="n"/>
      <c r="G98" s="10" t="n"/>
      <c r="H98" s="14" t="n">
        <v>0</v>
      </c>
      <c r="I98" s="11">
        <f>IF(F98="Labor",IF(C98="USD",IFERROR(VLOOKUP(D98,Recursos!$A$3:$F$100,4,FALSE),""),IFERROR(VLOOKUP(D98,Recursos!$A$3:$F$100,5,FALSE),"")),"")</f>
        <v/>
      </c>
      <c r="J98" s="10" t="n">
        <v>0</v>
      </c>
      <c r="K98" s="11">
        <f>IF(F98="Labor",IF(C98="USD",H98*I98,(H98*I98)/Setup!$B$7),IF(C98="USD",J98,J98/Setup!$B$7))</f>
        <v/>
      </c>
      <c r="L98" s="11">
        <f>K98*Setup!$B$7</f>
        <v/>
      </c>
      <c r="M98" s="10" t="n"/>
      <c r="N98" s="10" t="inlineStr">
        <is>
          <t>S</t>
        </is>
      </c>
      <c r="O98" s="10" t="n"/>
      <c r="P98" s="10" t="n"/>
    </row>
    <row r="99">
      <c r="A99" s="10" t="n"/>
      <c r="B99" s="11">
        <f>IF(A99="","",TEXT(A99,"yyyy-mm"))</f>
        <v/>
      </c>
      <c r="C99" s="10" t="inlineStr">
        <is>
          <t>USD</t>
        </is>
      </c>
      <c r="D99" s="10" t="n"/>
      <c r="E99" s="11">
        <f>IFERROR(VLOOKUP(D99,Recursos!$A$3:$F$100,2,FALSE),"")</f>
        <v/>
      </c>
      <c r="F99" s="10" t="n"/>
      <c r="G99" s="10" t="n"/>
      <c r="H99" s="14" t="n">
        <v>0</v>
      </c>
      <c r="I99" s="11">
        <f>IF(F99="Labor",IF(C99="USD",IFERROR(VLOOKUP(D99,Recursos!$A$3:$F$100,4,FALSE),""),IFERROR(VLOOKUP(D99,Recursos!$A$3:$F$100,5,FALSE),"")),"")</f>
        <v/>
      </c>
      <c r="J99" s="10" t="n">
        <v>0</v>
      </c>
      <c r="K99" s="11">
        <f>IF(F99="Labor",IF(C99="USD",H99*I99,(H99*I99)/Setup!$B$7),IF(C99="USD",J99,J99/Setup!$B$7))</f>
        <v/>
      </c>
      <c r="L99" s="11">
        <f>K99*Setup!$B$7</f>
        <v/>
      </c>
      <c r="M99" s="10" t="n"/>
      <c r="N99" s="10" t="inlineStr">
        <is>
          <t>S</t>
        </is>
      </c>
      <c r="O99" s="10" t="n"/>
      <c r="P99" s="10" t="n"/>
    </row>
    <row r="100">
      <c r="A100" s="10" t="n"/>
      <c r="B100" s="11">
        <f>IF(A100="","",TEXT(A100,"yyyy-mm"))</f>
        <v/>
      </c>
      <c r="C100" s="10" t="inlineStr">
        <is>
          <t>USD</t>
        </is>
      </c>
      <c r="D100" s="10" t="n"/>
      <c r="E100" s="11">
        <f>IFERROR(VLOOKUP(D100,Recursos!$A$3:$F$100,2,FALSE),"")</f>
        <v/>
      </c>
      <c r="F100" s="10" t="n"/>
      <c r="G100" s="10" t="n"/>
      <c r="H100" s="14" t="n">
        <v>0</v>
      </c>
      <c r="I100" s="11">
        <f>IF(F100="Labor",IF(C100="USD",IFERROR(VLOOKUP(D100,Recursos!$A$3:$F$100,4,FALSE),""),IFERROR(VLOOKUP(D100,Recursos!$A$3:$F$100,5,FALSE),"")),"")</f>
        <v/>
      </c>
      <c r="J100" s="10" t="n">
        <v>0</v>
      </c>
      <c r="K100" s="11">
        <f>IF(F100="Labor",IF(C100="USD",H100*I100,(H100*I100)/Setup!$B$7),IF(C100="USD",J100,J100/Setup!$B$7))</f>
        <v/>
      </c>
      <c r="L100" s="11">
        <f>K100*Setup!$B$7</f>
        <v/>
      </c>
      <c r="M100" s="10" t="n"/>
      <c r="N100" s="10" t="inlineStr">
        <is>
          <t>S</t>
        </is>
      </c>
      <c r="O100" s="10" t="n"/>
      <c r="P100" s="10" t="n"/>
    </row>
    <row r="101">
      <c r="A101" s="10" t="n"/>
      <c r="B101" s="11">
        <f>IF(A101="","",TEXT(A101,"yyyy-mm"))</f>
        <v/>
      </c>
      <c r="C101" s="10" t="inlineStr">
        <is>
          <t>USD</t>
        </is>
      </c>
      <c r="D101" s="10" t="n"/>
      <c r="E101" s="11">
        <f>IFERROR(VLOOKUP(D101,Recursos!$A$3:$F$100,2,FALSE),"")</f>
        <v/>
      </c>
      <c r="F101" s="10" t="n"/>
      <c r="G101" s="10" t="n"/>
      <c r="H101" s="14" t="n">
        <v>0</v>
      </c>
      <c r="I101" s="11">
        <f>IF(F101="Labor",IF(C101="USD",IFERROR(VLOOKUP(D101,Recursos!$A$3:$F$100,4,FALSE),""),IFERROR(VLOOKUP(D101,Recursos!$A$3:$F$100,5,FALSE),"")),"")</f>
        <v/>
      </c>
      <c r="J101" s="10" t="n">
        <v>0</v>
      </c>
      <c r="K101" s="11">
        <f>IF(F101="Labor",IF(C101="USD",H101*I101,(H101*I101)/Setup!$B$7),IF(C101="USD",J101,J101/Setup!$B$7))</f>
        <v/>
      </c>
      <c r="L101" s="11">
        <f>K101*Setup!$B$7</f>
        <v/>
      </c>
      <c r="M101" s="10" t="n"/>
      <c r="N101" s="10" t="inlineStr">
        <is>
          <t>S</t>
        </is>
      </c>
      <c r="O101" s="10" t="n"/>
      <c r="P101" s="10" t="n"/>
    </row>
    <row r="102">
      <c r="A102" s="10" t="n"/>
      <c r="B102" s="11">
        <f>IF(A102="","",TEXT(A102,"yyyy-mm"))</f>
        <v/>
      </c>
      <c r="C102" s="10" t="inlineStr">
        <is>
          <t>USD</t>
        </is>
      </c>
      <c r="D102" s="10" t="n"/>
      <c r="E102" s="11">
        <f>IFERROR(VLOOKUP(D102,Recursos!$A$3:$F$100,2,FALSE),"")</f>
        <v/>
      </c>
      <c r="F102" s="10" t="n"/>
      <c r="G102" s="10" t="n"/>
      <c r="H102" s="14" t="n">
        <v>0</v>
      </c>
      <c r="I102" s="11">
        <f>IF(F102="Labor",IF(C102="USD",IFERROR(VLOOKUP(D102,Recursos!$A$3:$F$100,4,FALSE),""),IFERROR(VLOOKUP(D102,Recursos!$A$3:$F$100,5,FALSE),"")),"")</f>
        <v/>
      </c>
      <c r="J102" s="10" t="n">
        <v>0</v>
      </c>
      <c r="K102" s="11">
        <f>IF(F102="Labor",IF(C102="USD",H102*I102,(H102*I102)/Setup!$B$7),IF(C102="USD",J102,J102/Setup!$B$7))</f>
        <v/>
      </c>
      <c r="L102" s="11">
        <f>K102*Setup!$B$7</f>
        <v/>
      </c>
      <c r="M102" s="10" t="n"/>
      <c r="N102" s="10" t="inlineStr">
        <is>
          <t>S</t>
        </is>
      </c>
      <c r="O102" s="10" t="n"/>
      <c r="P102" s="10" t="n"/>
    </row>
    <row r="103">
      <c r="A103" s="10" t="n"/>
      <c r="B103" s="11">
        <f>IF(A103="","",TEXT(A103,"yyyy-mm"))</f>
        <v/>
      </c>
      <c r="C103" s="10" t="inlineStr">
        <is>
          <t>USD</t>
        </is>
      </c>
      <c r="D103" s="10" t="n"/>
      <c r="E103" s="11">
        <f>IFERROR(VLOOKUP(D103,Recursos!$A$3:$F$100,2,FALSE),"")</f>
        <v/>
      </c>
      <c r="F103" s="10" t="n"/>
      <c r="G103" s="10" t="n"/>
      <c r="H103" s="14" t="n">
        <v>0</v>
      </c>
      <c r="I103" s="11">
        <f>IF(F103="Labor",IF(C103="USD",IFERROR(VLOOKUP(D103,Recursos!$A$3:$F$100,4,FALSE),""),IFERROR(VLOOKUP(D103,Recursos!$A$3:$F$100,5,FALSE),"")),"")</f>
        <v/>
      </c>
      <c r="J103" s="10" t="n">
        <v>0</v>
      </c>
      <c r="K103" s="11">
        <f>IF(F103="Labor",IF(C103="USD",H103*I103,(H103*I103)/Setup!$B$7),IF(C103="USD",J103,J103/Setup!$B$7))</f>
        <v/>
      </c>
      <c r="L103" s="11">
        <f>K103*Setup!$B$7</f>
        <v/>
      </c>
      <c r="M103" s="10" t="n"/>
      <c r="N103" s="10" t="inlineStr">
        <is>
          <t>S</t>
        </is>
      </c>
      <c r="O103" s="10" t="n"/>
      <c r="P103" s="10" t="n"/>
    </row>
    <row r="104">
      <c r="A104" s="10" t="n"/>
      <c r="B104" s="11">
        <f>IF(A104="","",TEXT(A104,"yyyy-mm"))</f>
        <v/>
      </c>
      <c r="C104" s="10" t="inlineStr">
        <is>
          <t>USD</t>
        </is>
      </c>
      <c r="D104" s="10" t="n"/>
      <c r="E104" s="11">
        <f>IFERROR(VLOOKUP(D104,Recursos!$A$3:$F$100,2,FALSE),"")</f>
        <v/>
      </c>
      <c r="F104" s="10" t="n"/>
      <c r="G104" s="10" t="n"/>
      <c r="H104" s="14" t="n">
        <v>0</v>
      </c>
      <c r="I104" s="11">
        <f>IF(F104="Labor",IF(C104="USD",IFERROR(VLOOKUP(D104,Recursos!$A$3:$F$100,4,FALSE),""),IFERROR(VLOOKUP(D104,Recursos!$A$3:$F$100,5,FALSE),"")),"")</f>
        <v/>
      </c>
      <c r="J104" s="10" t="n">
        <v>0</v>
      </c>
      <c r="K104" s="11">
        <f>IF(F104="Labor",IF(C104="USD",H104*I104,(H104*I104)/Setup!$B$7),IF(C104="USD",J104,J104/Setup!$B$7))</f>
        <v/>
      </c>
      <c r="L104" s="11">
        <f>K104*Setup!$B$7</f>
        <v/>
      </c>
      <c r="M104" s="10" t="n"/>
      <c r="N104" s="10" t="inlineStr">
        <is>
          <t>S</t>
        </is>
      </c>
      <c r="O104" s="10" t="n"/>
      <c r="P104" s="10" t="n"/>
    </row>
    <row r="105">
      <c r="A105" s="10" t="n"/>
      <c r="B105" s="11">
        <f>IF(A105="","",TEXT(A105,"yyyy-mm"))</f>
        <v/>
      </c>
      <c r="C105" s="10" t="inlineStr">
        <is>
          <t>USD</t>
        </is>
      </c>
      <c r="D105" s="10" t="n"/>
      <c r="E105" s="11">
        <f>IFERROR(VLOOKUP(D105,Recursos!$A$3:$F$100,2,FALSE),"")</f>
        <v/>
      </c>
      <c r="F105" s="10" t="n"/>
      <c r="G105" s="10" t="n"/>
      <c r="H105" s="14" t="n">
        <v>0</v>
      </c>
      <c r="I105" s="11">
        <f>IF(F105="Labor",IF(C105="USD",IFERROR(VLOOKUP(D105,Recursos!$A$3:$F$100,4,FALSE),""),IFERROR(VLOOKUP(D105,Recursos!$A$3:$F$100,5,FALSE),"")),"")</f>
        <v/>
      </c>
      <c r="J105" s="10" t="n">
        <v>0</v>
      </c>
      <c r="K105" s="11">
        <f>IF(F105="Labor",IF(C105="USD",H105*I105,(H105*I105)/Setup!$B$7),IF(C105="USD",J105,J105/Setup!$B$7))</f>
        <v/>
      </c>
      <c r="L105" s="11">
        <f>K105*Setup!$B$7</f>
        <v/>
      </c>
      <c r="M105" s="10" t="n"/>
      <c r="N105" s="10" t="inlineStr">
        <is>
          <t>S</t>
        </is>
      </c>
      <c r="O105" s="10" t="n"/>
      <c r="P105" s="10" t="n"/>
    </row>
    <row r="106">
      <c r="A106" s="10" t="n"/>
      <c r="B106" s="11">
        <f>IF(A106="","",TEXT(A106,"yyyy-mm"))</f>
        <v/>
      </c>
      <c r="C106" s="10" t="inlineStr">
        <is>
          <t>USD</t>
        </is>
      </c>
      <c r="D106" s="10" t="n"/>
      <c r="E106" s="11">
        <f>IFERROR(VLOOKUP(D106,Recursos!$A$3:$F$100,2,FALSE),"")</f>
        <v/>
      </c>
      <c r="F106" s="10" t="n"/>
      <c r="G106" s="10" t="n"/>
      <c r="H106" s="14" t="n">
        <v>0</v>
      </c>
      <c r="I106" s="11">
        <f>IF(F106="Labor",IF(C106="USD",IFERROR(VLOOKUP(D106,Recursos!$A$3:$F$100,4,FALSE),""),IFERROR(VLOOKUP(D106,Recursos!$A$3:$F$100,5,FALSE),"")),"")</f>
        <v/>
      </c>
      <c r="J106" s="10" t="n">
        <v>0</v>
      </c>
      <c r="K106" s="11">
        <f>IF(F106="Labor",IF(C106="USD",H106*I106,(H106*I106)/Setup!$B$7),IF(C106="USD",J106,J106/Setup!$B$7))</f>
        <v/>
      </c>
      <c r="L106" s="11">
        <f>K106*Setup!$B$7</f>
        <v/>
      </c>
      <c r="M106" s="10" t="n"/>
      <c r="N106" s="10" t="inlineStr">
        <is>
          <t>S</t>
        </is>
      </c>
      <c r="O106" s="10" t="n"/>
      <c r="P106" s="10" t="n"/>
    </row>
    <row r="107">
      <c r="A107" s="10" t="n"/>
      <c r="B107" s="11">
        <f>IF(A107="","",TEXT(A107,"yyyy-mm"))</f>
        <v/>
      </c>
      <c r="C107" s="10" t="inlineStr">
        <is>
          <t>USD</t>
        </is>
      </c>
      <c r="D107" s="10" t="n"/>
      <c r="E107" s="11">
        <f>IFERROR(VLOOKUP(D107,Recursos!$A$3:$F$100,2,FALSE),"")</f>
        <v/>
      </c>
      <c r="F107" s="10" t="n"/>
      <c r="G107" s="10" t="n"/>
      <c r="H107" s="14" t="n">
        <v>0</v>
      </c>
      <c r="I107" s="11">
        <f>IF(F107="Labor",IF(C107="USD",IFERROR(VLOOKUP(D107,Recursos!$A$3:$F$100,4,FALSE),""),IFERROR(VLOOKUP(D107,Recursos!$A$3:$F$100,5,FALSE),"")),"")</f>
        <v/>
      </c>
      <c r="J107" s="10" t="n">
        <v>0</v>
      </c>
      <c r="K107" s="11">
        <f>IF(F107="Labor",IF(C107="USD",H107*I107,(H107*I107)/Setup!$B$7),IF(C107="USD",J107,J107/Setup!$B$7))</f>
        <v/>
      </c>
      <c r="L107" s="11">
        <f>K107*Setup!$B$7</f>
        <v/>
      </c>
      <c r="M107" s="10" t="n"/>
      <c r="N107" s="10" t="inlineStr">
        <is>
          <t>S</t>
        </is>
      </c>
      <c r="O107" s="10" t="n"/>
      <c r="P107" s="10" t="n"/>
    </row>
    <row r="108">
      <c r="A108" s="10" t="n"/>
      <c r="B108" s="11">
        <f>IF(A108="","",TEXT(A108,"yyyy-mm"))</f>
        <v/>
      </c>
      <c r="C108" s="10" t="inlineStr">
        <is>
          <t>USD</t>
        </is>
      </c>
      <c r="D108" s="10" t="n"/>
      <c r="E108" s="11">
        <f>IFERROR(VLOOKUP(D108,Recursos!$A$3:$F$100,2,FALSE),"")</f>
        <v/>
      </c>
      <c r="F108" s="10" t="n"/>
      <c r="G108" s="10" t="n"/>
      <c r="H108" s="14" t="n">
        <v>0</v>
      </c>
      <c r="I108" s="11">
        <f>IF(F108="Labor",IF(C108="USD",IFERROR(VLOOKUP(D108,Recursos!$A$3:$F$100,4,FALSE),""),IFERROR(VLOOKUP(D108,Recursos!$A$3:$F$100,5,FALSE),"")),"")</f>
        <v/>
      </c>
      <c r="J108" s="10" t="n">
        <v>0</v>
      </c>
      <c r="K108" s="11">
        <f>IF(F108="Labor",IF(C108="USD",H108*I108,(H108*I108)/Setup!$B$7),IF(C108="USD",J108,J108/Setup!$B$7))</f>
        <v/>
      </c>
      <c r="L108" s="11">
        <f>K108*Setup!$B$7</f>
        <v/>
      </c>
      <c r="M108" s="10" t="n"/>
      <c r="N108" s="10" t="inlineStr">
        <is>
          <t>S</t>
        </is>
      </c>
      <c r="O108" s="10" t="n"/>
      <c r="P108" s="10" t="n"/>
    </row>
    <row r="109">
      <c r="A109" s="10" t="n"/>
      <c r="B109" s="11">
        <f>IF(A109="","",TEXT(A109,"yyyy-mm"))</f>
        <v/>
      </c>
      <c r="C109" s="10" t="inlineStr">
        <is>
          <t>USD</t>
        </is>
      </c>
      <c r="D109" s="10" t="n"/>
      <c r="E109" s="11">
        <f>IFERROR(VLOOKUP(D109,Recursos!$A$3:$F$100,2,FALSE),"")</f>
        <v/>
      </c>
      <c r="F109" s="10" t="n"/>
      <c r="G109" s="10" t="n"/>
      <c r="H109" s="14" t="n">
        <v>0</v>
      </c>
      <c r="I109" s="11">
        <f>IF(F109="Labor",IF(C109="USD",IFERROR(VLOOKUP(D109,Recursos!$A$3:$F$100,4,FALSE),""),IFERROR(VLOOKUP(D109,Recursos!$A$3:$F$100,5,FALSE),"")),"")</f>
        <v/>
      </c>
      <c r="J109" s="10" t="n">
        <v>0</v>
      </c>
      <c r="K109" s="11">
        <f>IF(F109="Labor",IF(C109="USD",H109*I109,(H109*I109)/Setup!$B$7),IF(C109="USD",J109,J109/Setup!$B$7))</f>
        <v/>
      </c>
      <c r="L109" s="11">
        <f>K109*Setup!$B$7</f>
        <v/>
      </c>
      <c r="M109" s="10" t="n"/>
      <c r="N109" s="10" t="inlineStr">
        <is>
          <t>S</t>
        </is>
      </c>
      <c r="O109" s="10" t="n"/>
      <c r="P109" s="10" t="n"/>
    </row>
    <row r="110">
      <c r="A110" s="10" t="n"/>
      <c r="B110" s="11">
        <f>IF(A110="","",TEXT(A110,"yyyy-mm"))</f>
        <v/>
      </c>
      <c r="C110" s="10" t="inlineStr">
        <is>
          <t>USD</t>
        </is>
      </c>
      <c r="D110" s="10" t="n"/>
      <c r="E110" s="11">
        <f>IFERROR(VLOOKUP(D110,Recursos!$A$3:$F$100,2,FALSE),"")</f>
        <v/>
      </c>
      <c r="F110" s="10" t="n"/>
      <c r="G110" s="10" t="n"/>
      <c r="H110" s="14" t="n">
        <v>0</v>
      </c>
      <c r="I110" s="11">
        <f>IF(F110="Labor",IF(C110="USD",IFERROR(VLOOKUP(D110,Recursos!$A$3:$F$100,4,FALSE),""),IFERROR(VLOOKUP(D110,Recursos!$A$3:$F$100,5,FALSE),"")),"")</f>
        <v/>
      </c>
      <c r="J110" s="10" t="n">
        <v>0</v>
      </c>
      <c r="K110" s="11">
        <f>IF(F110="Labor",IF(C110="USD",H110*I110,(H110*I110)/Setup!$B$7),IF(C110="USD",J110,J110/Setup!$B$7))</f>
        <v/>
      </c>
      <c r="L110" s="11">
        <f>K110*Setup!$B$7</f>
        <v/>
      </c>
      <c r="M110" s="10" t="n"/>
      <c r="N110" s="10" t="inlineStr">
        <is>
          <t>S</t>
        </is>
      </c>
      <c r="O110" s="10" t="n"/>
      <c r="P110" s="10" t="n"/>
    </row>
    <row r="111">
      <c r="A111" s="10" t="n"/>
      <c r="B111" s="11">
        <f>IF(A111="","",TEXT(A111,"yyyy-mm"))</f>
        <v/>
      </c>
      <c r="C111" s="10" t="inlineStr">
        <is>
          <t>USD</t>
        </is>
      </c>
      <c r="D111" s="10" t="n"/>
      <c r="E111" s="11">
        <f>IFERROR(VLOOKUP(D111,Recursos!$A$3:$F$100,2,FALSE),"")</f>
        <v/>
      </c>
      <c r="F111" s="10" t="n"/>
      <c r="G111" s="10" t="n"/>
      <c r="H111" s="14" t="n">
        <v>0</v>
      </c>
      <c r="I111" s="11">
        <f>IF(F111="Labor",IF(C111="USD",IFERROR(VLOOKUP(D111,Recursos!$A$3:$F$100,4,FALSE),""),IFERROR(VLOOKUP(D111,Recursos!$A$3:$F$100,5,FALSE),"")),"")</f>
        <v/>
      </c>
      <c r="J111" s="10" t="n">
        <v>0</v>
      </c>
      <c r="K111" s="11">
        <f>IF(F111="Labor",IF(C111="USD",H111*I111,(H111*I111)/Setup!$B$7),IF(C111="USD",J111,J111/Setup!$B$7))</f>
        <v/>
      </c>
      <c r="L111" s="11">
        <f>K111*Setup!$B$7</f>
        <v/>
      </c>
      <c r="M111" s="10" t="n"/>
      <c r="N111" s="10" t="inlineStr">
        <is>
          <t>S</t>
        </is>
      </c>
      <c r="O111" s="10" t="n"/>
      <c r="P111" s="10" t="n"/>
    </row>
    <row r="112">
      <c r="A112" s="10" t="n"/>
      <c r="B112" s="11">
        <f>IF(A112="","",TEXT(A112,"yyyy-mm"))</f>
        <v/>
      </c>
      <c r="C112" s="10" t="inlineStr">
        <is>
          <t>USD</t>
        </is>
      </c>
      <c r="D112" s="10" t="n"/>
      <c r="E112" s="11">
        <f>IFERROR(VLOOKUP(D112,Recursos!$A$3:$F$100,2,FALSE),"")</f>
        <v/>
      </c>
      <c r="F112" s="10" t="n"/>
      <c r="G112" s="10" t="n"/>
      <c r="H112" s="14" t="n">
        <v>0</v>
      </c>
      <c r="I112" s="11">
        <f>IF(F112="Labor",IF(C112="USD",IFERROR(VLOOKUP(D112,Recursos!$A$3:$F$100,4,FALSE),""),IFERROR(VLOOKUP(D112,Recursos!$A$3:$F$100,5,FALSE),"")),"")</f>
        <v/>
      </c>
      <c r="J112" s="10" t="n">
        <v>0</v>
      </c>
      <c r="K112" s="11">
        <f>IF(F112="Labor",IF(C112="USD",H112*I112,(H112*I112)/Setup!$B$7),IF(C112="USD",J112,J112/Setup!$B$7))</f>
        <v/>
      </c>
      <c r="L112" s="11">
        <f>K112*Setup!$B$7</f>
        <v/>
      </c>
      <c r="M112" s="10" t="n"/>
      <c r="N112" s="10" t="inlineStr">
        <is>
          <t>S</t>
        </is>
      </c>
      <c r="O112" s="10" t="n"/>
      <c r="P112" s="10" t="n"/>
    </row>
    <row r="113">
      <c r="A113" s="10" t="n"/>
      <c r="B113" s="11">
        <f>IF(A113="","",TEXT(A113,"yyyy-mm"))</f>
        <v/>
      </c>
      <c r="C113" s="10" t="inlineStr">
        <is>
          <t>USD</t>
        </is>
      </c>
      <c r="D113" s="10" t="n"/>
      <c r="E113" s="11">
        <f>IFERROR(VLOOKUP(D113,Recursos!$A$3:$F$100,2,FALSE),"")</f>
        <v/>
      </c>
      <c r="F113" s="10" t="n"/>
      <c r="G113" s="10" t="n"/>
      <c r="H113" s="14" t="n">
        <v>0</v>
      </c>
      <c r="I113" s="11">
        <f>IF(F113="Labor",IF(C113="USD",IFERROR(VLOOKUP(D113,Recursos!$A$3:$F$100,4,FALSE),""),IFERROR(VLOOKUP(D113,Recursos!$A$3:$F$100,5,FALSE),"")),"")</f>
        <v/>
      </c>
      <c r="J113" s="10" t="n">
        <v>0</v>
      </c>
      <c r="K113" s="11">
        <f>IF(F113="Labor",IF(C113="USD",H113*I113,(H113*I113)/Setup!$B$7),IF(C113="USD",J113,J113/Setup!$B$7))</f>
        <v/>
      </c>
      <c r="L113" s="11">
        <f>K113*Setup!$B$7</f>
        <v/>
      </c>
      <c r="M113" s="10" t="n"/>
      <c r="N113" s="10" t="inlineStr">
        <is>
          <t>S</t>
        </is>
      </c>
      <c r="O113" s="10" t="n"/>
      <c r="P113" s="10" t="n"/>
    </row>
    <row r="114">
      <c r="A114" s="10" t="n"/>
      <c r="B114" s="11">
        <f>IF(A114="","",TEXT(A114,"yyyy-mm"))</f>
        <v/>
      </c>
      <c r="C114" s="10" t="inlineStr">
        <is>
          <t>USD</t>
        </is>
      </c>
      <c r="D114" s="10" t="n"/>
      <c r="E114" s="11">
        <f>IFERROR(VLOOKUP(D114,Recursos!$A$3:$F$100,2,FALSE),"")</f>
        <v/>
      </c>
      <c r="F114" s="10" t="n"/>
      <c r="G114" s="10" t="n"/>
      <c r="H114" s="14" t="n">
        <v>0</v>
      </c>
      <c r="I114" s="11">
        <f>IF(F114="Labor",IF(C114="USD",IFERROR(VLOOKUP(D114,Recursos!$A$3:$F$100,4,FALSE),""),IFERROR(VLOOKUP(D114,Recursos!$A$3:$F$100,5,FALSE),"")),"")</f>
        <v/>
      </c>
      <c r="J114" s="10" t="n">
        <v>0</v>
      </c>
      <c r="K114" s="11">
        <f>IF(F114="Labor",IF(C114="USD",H114*I114,(H114*I114)/Setup!$B$7),IF(C114="USD",J114,J114/Setup!$B$7))</f>
        <v/>
      </c>
      <c r="L114" s="11">
        <f>K114*Setup!$B$7</f>
        <v/>
      </c>
      <c r="M114" s="10" t="n"/>
      <c r="N114" s="10" t="inlineStr">
        <is>
          <t>S</t>
        </is>
      </c>
      <c r="O114" s="10" t="n"/>
      <c r="P114" s="10" t="n"/>
    </row>
    <row r="115">
      <c r="A115" s="10" t="n"/>
      <c r="B115" s="11">
        <f>IF(A115="","",TEXT(A115,"yyyy-mm"))</f>
        <v/>
      </c>
      <c r="C115" s="10" t="inlineStr">
        <is>
          <t>USD</t>
        </is>
      </c>
      <c r="D115" s="10" t="n"/>
      <c r="E115" s="11">
        <f>IFERROR(VLOOKUP(D115,Recursos!$A$3:$F$100,2,FALSE),"")</f>
        <v/>
      </c>
      <c r="F115" s="10" t="n"/>
      <c r="G115" s="10" t="n"/>
      <c r="H115" s="14" t="n">
        <v>0</v>
      </c>
      <c r="I115" s="11">
        <f>IF(F115="Labor",IF(C115="USD",IFERROR(VLOOKUP(D115,Recursos!$A$3:$F$100,4,FALSE),""),IFERROR(VLOOKUP(D115,Recursos!$A$3:$F$100,5,FALSE),"")),"")</f>
        <v/>
      </c>
      <c r="J115" s="10" t="n">
        <v>0</v>
      </c>
      <c r="K115" s="11">
        <f>IF(F115="Labor",IF(C115="USD",H115*I115,(H115*I115)/Setup!$B$7),IF(C115="USD",J115,J115/Setup!$B$7))</f>
        <v/>
      </c>
      <c r="L115" s="11">
        <f>K115*Setup!$B$7</f>
        <v/>
      </c>
      <c r="M115" s="10" t="n"/>
      <c r="N115" s="10" t="inlineStr">
        <is>
          <t>S</t>
        </is>
      </c>
      <c r="O115" s="10" t="n"/>
      <c r="P115" s="10" t="n"/>
    </row>
    <row r="116">
      <c r="A116" s="10" t="n"/>
      <c r="B116" s="11">
        <f>IF(A116="","",TEXT(A116,"yyyy-mm"))</f>
        <v/>
      </c>
      <c r="C116" s="10" t="inlineStr">
        <is>
          <t>USD</t>
        </is>
      </c>
      <c r="D116" s="10" t="n"/>
      <c r="E116" s="11">
        <f>IFERROR(VLOOKUP(D116,Recursos!$A$3:$F$100,2,FALSE),"")</f>
        <v/>
      </c>
      <c r="F116" s="10" t="n"/>
      <c r="G116" s="10" t="n"/>
      <c r="H116" s="14" t="n">
        <v>0</v>
      </c>
      <c r="I116" s="11">
        <f>IF(F116="Labor",IF(C116="USD",IFERROR(VLOOKUP(D116,Recursos!$A$3:$F$100,4,FALSE),""),IFERROR(VLOOKUP(D116,Recursos!$A$3:$F$100,5,FALSE),"")),"")</f>
        <v/>
      </c>
      <c r="J116" s="10" t="n">
        <v>0</v>
      </c>
      <c r="K116" s="11">
        <f>IF(F116="Labor",IF(C116="USD",H116*I116,(H116*I116)/Setup!$B$7),IF(C116="USD",J116,J116/Setup!$B$7))</f>
        <v/>
      </c>
      <c r="L116" s="11">
        <f>K116*Setup!$B$7</f>
        <v/>
      </c>
      <c r="M116" s="10" t="n"/>
      <c r="N116" s="10" t="inlineStr">
        <is>
          <t>S</t>
        </is>
      </c>
      <c r="O116" s="10" t="n"/>
      <c r="P116" s="10" t="n"/>
    </row>
    <row r="117">
      <c r="A117" s="10" t="n"/>
      <c r="B117" s="11">
        <f>IF(A117="","",TEXT(A117,"yyyy-mm"))</f>
        <v/>
      </c>
      <c r="C117" s="10" t="inlineStr">
        <is>
          <t>USD</t>
        </is>
      </c>
      <c r="D117" s="10" t="n"/>
      <c r="E117" s="11">
        <f>IFERROR(VLOOKUP(D117,Recursos!$A$3:$F$100,2,FALSE),"")</f>
        <v/>
      </c>
      <c r="F117" s="10" t="n"/>
      <c r="G117" s="10" t="n"/>
      <c r="H117" s="14" t="n">
        <v>0</v>
      </c>
      <c r="I117" s="11">
        <f>IF(F117="Labor",IF(C117="USD",IFERROR(VLOOKUP(D117,Recursos!$A$3:$F$100,4,FALSE),""),IFERROR(VLOOKUP(D117,Recursos!$A$3:$F$100,5,FALSE),"")),"")</f>
        <v/>
      </c>
      <c r="J117" s="10" t="n">
        <v>0</v>
      </c>
      <c r="K117" s="11">
        <f>IF(F117="Labor",IF(C117="USD",H117*I117,(H117*I117)/Setup!$B$7),IF(C117="USD",J117,J117/Setup!$B$7))</f>
        <v/>
      </c>
      <c r="L117" s="11">
        <f>K117*Setup!$B$7</f>
        <v/>
      </c>
      <c r="M117" s="10" t="n"/>
      <c r="N117" s="10" t="inlineStr">
        <is>
          <t>S</t>
        </is>
      </c>
      <c r="O117" s="10" t="n"/>
      <c r="P117" s="10" t="n"/>
    </row>
    <row r="118">
      <c r="A118" s="10" t="n"/>
      <c r="B118" s="11">
        <f>IF(A118="","",TEXT(A118,"yyyy-mm"))</f>
        <v/>
      </c>
      <c r="C118" s="10" t="inlineStr">
        <is>
          <t>USD</t>
        </is>
      </c>
      <c r="D118" s="10" t="n"/>
      <c r="E118" s="11">
        <f>IFERROR(VLOOKUP(D118,Recursos!$A$3:$F$100,2,FALSE),"")</f>
        <v/>
      </c>
      <c r="F118" s="10" t="n"/>
      <c r="G118" s="10" t="n"/>
      <c r="H118" s="14" t="n">
        <v>0</v>
      </c>
      <c r="I118" s="11">
        <f>IF(F118="Labor",IF(C118="USD",IFERROR(VLOOKUP(D118,Recursos!$A$3:$F$100,4,FALSE),""),IFERROR(VLOOKUP(D118,Recursos!$A$3:$F$100,5,FALSE),"")),"")</f>
        <v/>
      </c>
      <c r="J118" s="10" t="n">
        <v>0</v>
      </c>
      <c r="K118" s="11">
        <f>IF(F118="Labor",IF(C118="USD",H118*I118,(H118*I118)/Setup!$B$7),IF(C118="USD",J118,J118/Setup!$B$7))</f>
        <v/>
      </c>
      <c r="L118" s="11">
        <f>K118*Setup!$B$7</f>
        <v/>
      </c>
      <c r="M118" s="10" t="n"/>
      <c r="N118" s="10" t="inlineStr">
        <is>
          <t>S</t>
        </is>
      </c>
      <c r="O118" s="10" t="n"/>
      <c r="P118" s="10" t="n"/>
    </row>
    <row r="119">
      <c r="A119" s="10" t="n"/>
      <c r="B119" s="11">
        <f>IF(A119="","",TEXT(A119,"yyyy-mm"))</f>
        <v/>
      </c>
      <c r="C119" s="10" t="inlineStr">
        <is>
          <t>USD</t>
        </is>
      </c>
      <c r="D119" s="10" t="n"/>
      <c r="E119" s="11">
        <f>IFERROR(VLOOKUP(D119,Recursos!$A$3:$F$100,2,FALSE),"")</f>
        <v/>
      </c>
      <c r="F119" s="10" t="n"/>
      <c r="G119" s="10" t="n"/>
      <c r="H119" s="14" t="n">
        <v>0</v>
      </c>
      <c r="I119" s="11">
        <f>IF(F119="Labor",IF(C119="USD",IFERROR(VLOOKUP(D119,Recursos!$A$3:$F$100,4,FALSE),""),IFERROR(VLOOKUP(D119,Recursos!$A$3:$F$100,5,FALSE),"")),"")</f>
        <v/>
      </c>
      <c r="J119" s="10" t="n">
        <v>0</v>
      </c>
      <c r="K119" s="11">
        <f>IF(F119="Labor",IF(C119="USD",H119*I119,(H119*I119)/Setup!$B$7),IF(C119="USD",J119,J119/Setup!$B$7))</f>
        <v/>
      </c>
      <c r="L119" s="11">
        <f>K119*Setup!$B$7</f>
        <v/>
      </c>
      <c r="M119" s="10" t="n"/>
      <c r="N119" s="10" t="inlineStr">
        <is>
          <t>S</t>
        </is>
      </c>
      <c r="O119" s="10" t="n"/>
      <c r="P119" s="10" t="n"/>
    </row>
    <row r="120">
      <c r="A120" s="10" t="n"/>
      <c r="B120" s="11">
        <f>IF(A120="","",TEXT(A120,"yyyy-mm"))</f>
        <v/>
      </c>
      <c r="C120" s="10" t="inlineStr">
        <is>
          <t>USD</t>
        </is>
      </c>
      <c r="D120" s="10" t="n"/>
      <c r="E120" s="11">
        <f>IFERROR(VLOOKUP(D120,Recursos!$A$3:$F$100,2,FALSE),"")</f>
        <v/>
      </c>
      <c r="F120" s="10" t="n"/>
      <c r="G120" s="10" t="n"/>
      <c r="H120" s="14" t="n">
        <v>0</v>
      </c>
      <c r="I120" s="11">
        <f>IF(F120="Labor",IF(C120="USD",IFERROR(VLOOKUP(D120,Recursos!$A$3:$F$100,4,FALSE),""),IFERROR(VLOOKUP(D120,Recursos!$A$3:$F$100,5,FALSE),"")),"")</f>
        <v/>
      </c>
      <c r="J120" s="10" t="n">
        <v>0</v>
      </c>
      <c r="K120" s="11">
        <f>IF(F120="Labor",IF(C120="USD",H120*I120,(H120*I120)/Setup!$B$7),IF(C120="USD",J120,J120/Setup!$B$7))</f>
        <v/>
      </c>
      <c r="L120" s="11">
        <f>K120*Setup!$B$7</f>
        <v/>
      </c>
      <c r="M120" s="10" t="n"/>
      <c r="N120" s="10" t="inlineStr">
        <is>
          <t>S</t>
        </is>
      </c>
      <c r="O120" s="10" t="n"/>
      <c r="P120" s="10" t="n"/>
    </row>
    <row r="121">
      <c r="A121" s="10" t="n"/>
      <c r="B121" s="11">
        <f>IF(A121="","",TEXT(A121,"yyyy-mm"))</f>
        <v/>
      </c>
      <c r="C121" s="10" t="inlineStr">
        <is>
          <t>USD</t>
        </is>
      </c>
      <c r="D121" s="10" t="n"/>
      <c r="E121" s="11">
        <f>IFERROR(VLOOKUP(D121,Recursos!$A$3:$F$100,2,FALSE),"")</f>
        <v/>
      </c>
      <c r="F121" s="10" t="n"/>
      <c r="G121" s="10" t="n"/>
      <c r="H121" s="14" t="n">
        <v>0</v>
      </c>
      <c r="I121" s="11">
        <f>IF(F121="Labor",IF(C121="USD",IFERROR(VLOOKUP(D121,Recursos!$A$3:$F$100,4,FALSE),""),IFERROR(VLOOKUP(D121,Recursos!$A$3:$F$100,5,FALSE),"")),"")</f>
        <v/>
      </c>
      <c r="J121" s="10" t="n">
        <v>0</v>
      </c>
      <c r="K121" s="11">
        <f>IF(F121="Labor",IF(C121="USD",H121*I121,(H121*I121)/Setup!$B$7),IF(C121="USD",J121,J121/Setup!$B$7))</f>
        <v/>
      </c>
      <c r="L121" s="11">
        <f>K121*Setup!$B$7</f>
        <v/>
      </c>
      <c r="M121" s="10" t="n"/>
      <c r="N121" s="10" t="inlineStr">
        <is>
          <t>S</t>
        </is>
      </c>
      <c r="O121" s="10" t="n"/>
      <c r="P121" s="10" t="n"/>
    </row>
    <row r="122">
      <c r="A122" s="10" t="n"/>
      <c r="B122" s="11">
        <f>IF(A122="","",TEXT(A122,"yyyy-mm"))</f>
        <v/>
      </c>
      <c r="C122" s="10" t="inlineStr">
        <is>
          <t>USD</t>
        </is>
      </c>
      <c r="D122" s="10" t="n"/>
      <c r="E122" s="11">
        <f>IFERROR(VLOOKUP(D122,Recursos!$A$3:$F$100,2,FALSE),"")</f>
        <v/>
      </c>
      <c r="F122" s="10" t="n"/>
      <c r="G122" s="10" t="n"/>
      <c r="H122" s="14" t="n">
        <v>0</v>
      </c>
      <c r="I122" s="11">
        <f>IF(F122="Labor",IF(C122="USD",IFERROR(VLOOKUP(D122,Recursos!$A$3:$F$100,4,FALSE),""),IFERROR(VLOOKUP(D122,Recursos!$A$3:$F$100,5,FALSE),"")),"")</f>
        <v/>
      </c>
      <c r="J122" s="10" t="n">
        <v>0</v>
      </c>
      <c r="K122" s="11">
        <f>IF(F122="Labor",IF(C122="USD",H122*I122,(H122*I122)/Setup!$B$7),IF(C122="USD",J122,J122/Setup!$B$7))</f>
        <v/>
      </c>
      <c r="L122" s="11">
        <f>K122*Setup!$B$7</f>
        <v/>
      </c>
      <c r="M122" s="10" t="n"/>
      <c r="N122" s="10" t="inlineStr">
        <is>
          <t>S</t>
        </is>
      </c>
      <c r="O122" s="10" t="n"/>
      <c r="P122" s="10" t="n"/>
    </row>
    <row r="123">
      <c r="A123" s="10" t="n"/>
      <c r="B123" s="11">
        <f>IF(A123="","",TEXT(A123,"yyyy-mm"))</f>
        <v/>
      </c>
      <c r="C123" s="10" t="inlineStr">
        <is>
          <t>USD</t>
        </is>
      </c>
      <c r="D123" s="10" t="n"/>
      <c r="E123" s="11">
        <f>IFERROR(VLOOKUP(D123,Recursos!$A$3:$F$100,2,FALSE),"")</f>
        <v/>
      </c>
      <c r="F123" s="10" t="n"/>
      <c r="G123" s="10" t="n"/>
      <c r="H123" s="14" t="n">
        <v>0</v>
      </c>
      <c r="I123" s="11">
        <f>IF(F123="Labor",IF(C123="USD",IFERROR(VLOOKUP(D123,Recursos!$A$3:$F$100,4,FALSE),""),IFERROR(VLOOKUP(D123,Recursos!$A$3:$F$100,5,FALSE),"")),"")</f>
        <v/>
      </c>
      <c r="J123" s="10" t="n">
        <v>0</v>
      </c>
      <c r="K123" s="11">
        <f>IF(F123="Labor",IF(C123="USD",H123*I123,(H123*I123)/Setup!$B$7),IF(C123="USD",J123,J123/Setup!$B$7))</f>
        <v/>
      </c>
      <c r="L123" s="11">
        <f>K123*Setup!$B$7</f>
        <v/>
      </c>
      <c r="M123" s="10" t="n"/>
      <c r="N123" s="10" t="inlineStr">
        <is>
          <t>S</t>
        </is>
      </c>
      <c r="O123" s="10" t="n"/>
      <c r="P123" s="10" t="n"/>
    </row>
    <row r="124">
      <c r="A124" s="10" t="n"/>
      <c r="B124" s="11">
        <f>IF(A124="","",TEXT(A124,"yyyy-mm"))</f>
        <v/>
      </c>
      <c r="C124" s="10" t="inlineStr">
        <is>
          <t>USD</t>
        </is>
      </c>
      <c r="D124" s="10" t="n"/>
      <c r="E124" s="11">
        <f>IFERROR(VLOOKUP(D124,Recursos!$A$3:$F$100,2,FALSE),"")</f>
        <v/>
      </c>
      <c r="F124" s="10" t="n"/>
      <c r="G124" s="10" t="n"/>
      <c r="H124" s="14" t="n">
        <v>0</v>
      </c>
      <c r="I124" s="11">
        <f>IF(F124="Labor",IF(C124="USD",IFERROR(VLOOKUP(D124,Recursos!$A$3:$F$100,4,FALSE),""),IFERROR(VLOOKUP(D124,Recursos!$A$3:$F$100,5,FALSE),"")),"")</f>
        <v/>
      </c>
      <c r="J124" s="10" t="n">
        <v>0</v>
      </c>
      <c r="K124" s="11">
        <f>IF(F124="Labor",IF(C124="USD",H124*I124,(H124*I124)/Setup!$B$7),IF(C124="USD",J124,J124/Setup!$B$7))</f>
        <v/>
      </c>
      <c r="L124" s="11">
        <f>K124*Setup!$B$7</f>
        <v/>
      </c>
      <c r="M124" s="10" t="n"/>
      <c r="N124" s="10" t="inlineStr">
        <is>
          <t>S</t>
        </is>
      </c>
      <c r="O124" s="10" t="n"/>
      <c r="P124" s="10" t="n"/>
    </row>
    <row r="125">
      <c r="A125" s="10" t="n"/>
      <c r="B125" s="11">
        <f>IF(A125="","",TEXT(A125,"yyyy-mm"))</f>
        <v/>
      </c>
      <c r="C125" s="10" t="inlineStr">
        <is>
          <t>USD</t>
        </is>
      </c>
      <c r="D125" s="10" t="n"/>
      <c r="E125" s="11">
        <f>IFERROR(VLOOKUP(D125,Recursos!$A$3:$F$100,2,FALSE),"")</f>
        <v/>
      </c>
      <c r="F125" s="10" t="n"/>
      <c r="G125" s="10" t="n"/>
      <c r="H125" s="14" t="n">
        <v>0</v>
      </c>
      <c r="I125" s="11">
        <f>IF(F125="Labor",IF(C125="USD",IFERROR(VLOOKUP(D125,Recursos!$A$3:$F$100,4,FALSE),""),IFERROR(VLOOKUP(D125,Recursos!$A$3:$F$100,5,FALSE),"")),"")</f>
        <v/>
      </c>
      <c r="J125" s="10" t="n">
        <v>0</v>
      </c>
      <c r="K125" s="11">
        <f>IF(F125="Labor",IF(C125="USD",H125*I125,(H125*I125)/Setup!$B$7),IF(C125="USD",J125,J125/Setup!$B$7))</f>
        <v/>
      </c>
      <c r="L125" s="11">
        <f>K125*Setup!$B$7</f>
        <v/>
      </c>
      <c r="M125" s="10" t="n"/>
      <c r="N125" s="10" t="inlineStr">
        <is>
          <t>S</t>
        </is>
      </c>
      <c r="O125" s="10" t="n"/>
      <c r="P125" s="10" t="n"/>
    </row>
    <row r="126">
      <c r="A126" s="10" t="n"/>
      <c r="B126" s="11">
        <f>IF(A126="","",TEXT(A126,"yyyy-mm"))</f>
        <v/>
      </c>
      <c r="C126" s="10" t="inlineStr">
        <is>
          <t>USD</t>
        </is>
      </c>
      <c r="D126" s="10" t="n"/>
      <c r="E126" s="11">
        <f>IFERROR(VLOOKUP(D126,Recursos!$A$3:$F$100,2,FALSE),"")</f>
        <v/>
      </c>
      <c r="F126" s="10" t="n"/>
      <c r="G126" s="10" t="n"/>
      <c r="H126" s="14" t="n">
        <v>0</v>
      </c>
      <c r="I126" s="11">
        <f>IF(F126="Labor",IF(C126="USD",IFERROR(VLOOKUP(D126,Recursos!$A$3:$F$100,4,FALSE),""),IFERROR(VLOOKUP(D126,Recursos!$A$3:$F$100,5,FALSE),"")),"")</f>
        <v/>
      </c>
      <c r="J126" s="10" t="n">
        <v>0</v>
      </c>
      <c r="K126" s="11">
        <f>IF(F126="Labor",IF(C126="USD",H126*I126,(H126*I126)/Setup!$B$7),IF(C126="USD",J126,J126/Setup!$B$7))</f>
        <v/>
      </c>
      <c r="L126" s="11">
        <f>K126*Setup!$B$7</f>
        <v/>
      </c>
      <c r="M126" s="10" t="n"/>
      <c r="N126" s="10" t="inlineStr">
        <is>
          <t>S</t>
        </is>
      </c>
      <c r="O126" s="10" t="n"/>
      <c r="P126" s="10" t="n"/>
    </row>
    <row r="127">
      <c r="A127" s="10" t="n"/>
      <c r="B127" s="11">
        <f>IF(A127="","",TEXT(A127,"yyyy-mm"))</f>
        <v/>
      </c>
      <c r="C127" s="10" t="inlineStr">
        <is>
          <t>USD</t>
        </is>
      </c>
      <c r="D127" s="10" t="n"/>
      <c r="E127" s="11">
        <f>IFERROR(VLOOKUP(D127,Recursos!$A$3:$F$100,2,FALSE),"")</f>
        <v/>
      </c>
      <c r="F127" s="10" t="n"/>
      <c r="G127" s="10" t="n"/>
      <c r="H127" s="14" t="n">
        <v>0</v>
      </c>
      <c r="I127" s="11">
        <f>IF(F127="Labor",IF(C127="USD",IFERROR(VLOOKUP(D127,Recursos!$A$3:$F$100,4,FALSE),""),IFERROR(VLOOKUP(D127,Recursos!$A$3:$F$100,5,FALSE),"")),"")</f>
        <v/>
      </c>
      <c r="J127" s="10" t="n">
        <v>0</v>
      </c>
      <c r="K127" s="11">
        <f>IF(F127="Labor",IF(C127="USD",H127*I127,(H127*I127)/Setup!$B$7),IF(C127="USD",J127,J127/Setup!$B$7))</f>
        <v/>
      </c>
      <c r="L127" s="11">
        <f>K127*Setup!$B$7</f>
        <v/>
      </c>
      <c r="M127" s="10" t="n"/>
      <c r="N127" s="10" t="inlineStr">
        <is>
          <t>S</t>
        </is>
      </c>
      <c r="O127" s="10" t="n"/>
      <c r="P127" s="10" t="n"/>
    </row>
    <row r="128">
      <c r="A128" s="10" t="n"/>
      <c r="B128" s="11">
        <f>IF(A128="","",TEXT(A128,"yyyy-mm"))</f>
        <v/>
      </c>
      <c r="C128" s="10" t="inlineStr">
        <is>
          <t>USD</t>
        </is>
      </c>
      <c r="D128" s="10" t="n"/>
      <c r="E128" s="11">
        <f>IFERROR(VLOOKUP(D128,Recursos!$A$3:$F$100,2,FALSE),"")</f>
        <v/>
      </c>
      <c r="F128" s="10" t="n"/>
      <c r="G128" s="10" t="n"/>
      <c r="H128" s="14" t="n">
        <v>0</v>
      </c>
      <c r="I128" s="11">
        <f>IF(F128="Labor",IF(C128="USD",IFERROR(VLOOKUP(D128,Recursos!$A$3:$F$100,4,FALSE),""),IFERROR(VLOOKUP(D128,Recursos!$A$3:$F$100,5,FALSE),"")),"")</f>
        <v/>
      </c>
      <c r="J128" s="10" t="n">
        <v>0</v>
      </c>
      <c r="K128" s="11">
        <f>IF(F128="Labor",IF(C128="USD",H128*I128,(H128*I128)/Setup!$B$7),IF(C128="USD",J128,J128/Setup!$B$7))</f>
        <v/>
      </c>
      <c r="L128" s="11">
        <f>K128*Setup!$B$7</f>
        <v/>
      </c>
      <c r="M128" s="10" t="n"/>
      <c r="N128" s="10" t="inlineStr">
        <is>
          <t>S</t>
        </is>
      </c>
      <c r="O128" s="10" t="n"/>
      <c r="P128" s="10" t="n"/>
    </row>
    <row r="129">
      <c r="A129" s="10" t="n"/>
      <c r="B129" s="11">
        <f>IF(A129="","",TEXT(A129,"yyyy-mm"))</f>
        <v/>
      </c>
      <c r="C129" s="10" t="inlineStr">
        <is>
          <t>USD</t>
        </is>
      </c>
      <c r="D129" s="10" t="n"/>
      <c r="E129" s="11">
        <f>IFERROR(VLOOKUP(D129,Recursos!$A$3:$F$100,2,FALSE),"")</f>
        <v/>
      </c>
      <c r="F129" s="10" t="n"/>
      <c r="G129" s="10" t="n"/>
      <c r="H129" s="14" t="n">
        <v>0</v>
      </c>
      <c r="I129" s="11">
        <f>IF(F129="Labor",IF(C129="USD",IFERROR(VLOOKUP(D129,Recursos!$A$3:$F$100,4,FALSE),""),IFERROR(VLOOKUP(D129,Recursos!$A$3:$F$100,5,FALSE),"")),"")</f>
        <v/>
      </c>
      <c r="J129" s="10" t="n">
        <v>0</v>
      </c>
      <c r="K129" s="11">
        <f>IF(F129="Labor",IF(C129="USD",H129*I129,(H129*I129)/Setup!$B$7),IF(C129="USD",J129,J129/Setup!$B$7))</f>
        <v/>
      </c>
      <c r="L129" s="11">
        <f>K129*Setup!$B$7</f>
        <v/>
      </c>
      <c r="M129" s="10" t="n"/>
      <c r="N129" s="10" t="inlineStr">
        <is>
          <t>S</t>
        </is>
      </c>
      <c r="O129" s="10" t="n"/>
      <c r="P129" s="10" t="n"/>
    </row>
    <row r="130">
      <c r="A130" s="10" t="n"/>
      <c r="B130" s="11">
        <f>IF(A130="","",TEXT(A130,"yyyy-mm"))</f>
        <v/>
      </c>
      <c r="C130" s="10" t="inlineStr">
        <is>
          <t>USD</t>
        </is>
      </c>
      <c r="D130" s="10" t="n"/>
      <c r="E130" s="11">
        <f>IFERROR(VLOOKUP(D130,Recursos!$A$3:$F$100,2,FALSE),"")</f>
        <v/>
      </c>
      <c r="F130" s="10" t="n"/>
      <c r="G130" s="10" t="n"/>
      <c r="H130" s="14" t="n">
        <v>0</v>
      </c>
      <c r="I130" s="11">
        <f>IF(F130="Labor",IF(C130="USD",IFERROR(VLOOKUP(D130,Recursos!$A$3:$F$100,4,FALSE),""),IFERROR(VLOOKUP(D130,Recursos!$A$3:$F$100,5,FALSE),"")),"")</f>
        <v/>
      </c>
      <c r="J130" s="10" t="n">
        <v>0</v>
      </c>
      <c r="K130" s="11">
        <f>IF(F130="Labor",IF(C130="USD",H130*I130,(H130*I130)/Setup!$B$7),IF(C130="USD",J130,J130/Setup!$B$7))</f>
        <v/>
      </c>
      <c r="L130" s="11">
        <f>K130*Setup!$B$7</f>
        <v/>
      </c>
      <c r="M130" s="10" t="n"/>
      <c r="N130" s="10" t="inlineStr">
        <is>
          <t>S</t>
        </is>
      </c>
      <c r="O130" s="10" t="n"/>
      <c r="P130" s="10" t="n"/>
    </row>
    <row r="131">
      <c r="A131" s="10" t="n"/>
      <c r="B131" s="11">
        <f>IF(A131="","",TEXT(A131,"yyyy-mm"))</f>
        <v/>
      </c>
      <c r="C131" s="10" t="inlineStr">
        <is>
          <t>USD</t>
        </is>
      </c>
      <c r="D131" s="10" t="n"/>
      <c r="E131" s="11">
        <f>IFERROR(VLOOKUP(D131,Recursos!$A$3:$F$100,2,FALSE),"")</f>
        <v/>
      </c>
      <c r="F131" s="10" t="n"/>
      <c r="G131" s="10" t="n"/>
      <c r="H131" s="14" t="n">
        <v>0</v>
      </c>
      <c r="I131" s="11">
        <f>IF(F131="Labor",IF(C131="USD",IFERROR(VLOOKUP(D131,Recursos!$A$3:$F$100,4,FALSE),""),IFERROR(VLOOKUP(D131,Recursos!$A$3:$F$100,5,FALSE),"")),"")</f>
        <v/>
      </c>
      <c r="J131" s="10" t="n">
        <v>0</v>
      </c>
      <c r="K131" s="11">
        <f>IF(F131="Labor",IF(C131="USD",H131*I131,(H131*I131)/Setup!$B$7),IF(C131="USD",J131,J131/Setup!$B$7))</f>
        <v/>
      </c>
      <c r="L131" s="11">
        <f>K131*Setup!$B$7</f>
        <v/>
      </c>
      <c r="M131" s="10" t="n"/>
      <c r="N131" s="10" t="inlineStr">
        <is>
          <t>S</t>
        </is>
      </c>
      <c r="O131" s="10" t="n"/>
      <c r="P131" s="10" t="n"/>
    </row>
    <row r="132">
      <c r="A132" s="10" t="n"/>
      <c r="B132" s="11">
        <f>IF(A132="","",TEXT(A132,"yyyy-mm"))</f>
        <v/>
      </c>
      <c r="C132" s="10" t="inlineStr">
        <is>
          <t>USD</t>
        </is>
      </c>
      <c r="D132" s="10" t="n"/>
      <c r="E132" s="11">
        <f>IFERROR(VLOOKUP(D132,Recursos!$A$3:$F$100,2,FALSE),"")</f>
        <v/>
      </c>
      <c r="F132" s="10" t="n"/>
      <c r="G132" s="10" t="n"/>
      <c r="H132" s="14" t="n">
        <v>0</v>
      </c>
      <c r="I132" s="11">
        <f>IF(F132="Labor",IF(C132="USD",IFERROR(VLOOKUP(D132,Recursos!$A$3:$F$100,4,FALSE),""),IFERROR(VLOOKUP(D132,Recursos!$A$3:$F$100,5,FALSE),"")),"")</f>
        <v/>
      </c>
      <c r="J132" s="10" t="n">
        <v>0</v>
      </c>
      <c r="K132" s="11">
        <f>IF(F132="Labor",IF(C132="USD",H132*I132,(H132*I132)/Setup!$B$7),IF(C132="USD",J132,J132/Setup!$B$7))</f>
        <v/>
      </c>
      <c r="L132" s="11">
        <f>K132*Setup!$B$7</f>
        <v/>
      </c>
      <c r="M132" s="10" t="n"/>
      <c r="N132" s="10" t="inlineStr">
        <is>
          <t>S</t>
        </is>
      </c>
      <c r="O132" s="10" t="n"/>
      <c r="P132" s="10" t="n"/>
    </row>
    <row r="133">
      <c r="A133" s="10" t="n"/>
      <c r="B133" s="11">
        <f>IF(A133="","",TEXT(A133,"yyyy-mm"))</f>
        <v/>
      </c>
      <c r="C133" s="10" t="inlineStr">
        <is>
          <t>USD</t>
        </is>
      </c>
      <c r="D133" s="10" t="n"/>
      <c r="E133" s="11">
        <f>IFERROR(VLOOKUP(D133,Recursos!$A$3:$F$100,2,FALSE),"")</f>
        <v/>
      </c>
      <c r="F133" s="10" t="n"/>
      <c r="G133" s="10" t="n"/>
      <c r="H133" s="14" t="n">
        <v>0</v>
      </c>
      <c r="I133" s="11">
        <f>IF(F133="Labor",IF(C133="USD",IFERROR(VLOOKUP(D133,Recursos!$A$3:$F$100,4,FALSE),""),IFERROR(VLOOKUP(D133,Recursos!$A$3:$F$100,5,FALSE),"")),"")</f>
        <v/>
      </c>
      <c r="J133" s="10" t="n">
        <v>0</v>
      </c>
      <c r="K133" s="11">
        <f>IF(F133="Labor",IF(C133="USD",H133*I133,(H133*I133)/Setup!$B$7),IF(C133="USD",J133,J133/Setup!$B$7))</f>
        <v/>
      </c>
      <c r="L133" s="11">
        <f>K133*Setup!$B$7</f>
        <v/>
      </c>
      <c r="M133" s="10" t="n"/>
      <c r="N133" s="10" t="inlineStr">
        <is>
          <t>S</t>
        </is>
      </c>
      <c r="O133" s="10" t="n"/>
      <c r="P133" s="10" t="n"/>
    </row>
    <row r="134">
      <c r="A134" s="10" t="n"/>
      <c r="B134" s="11">
        <f>IF(A134="","",TEXT(A134,"yyyy-mm"))</f>
        <v/>
      </c>
      <c r="C134" s="10" t="inlineStr">
        <is>
          <t>USD</t>
        </is>
      </c>
      <c r="D134" s="10" t="n"/>
      <c r="E134" s="11">
        <f>IFERROR(VLOOKUP(D134,Recursos!$A$3:$F$100,2,FALSE),"")</f>
        <v/>
      </c>
      <c r="F134" s="10" t="n"/>
      <c r="G134" s="10" t="n"/>
      <c r="H134" s="14" t="n">
        <v>0</v>
      </c>
      <c r="I134" s="11">
        <f>IF(F134="Labor",IF(C134="USD",IFERROR(VLOOKUP(D134,Recursos!$A$3:$F$100,4,FALSE),""),IFERROR(VLOOKUP(D134,Recursos!$A$3:$F$100,5,FALSE),"")),"")</f>
        <v/>
      </c>
      <c r="J134" s="10" t="n">
        <v>0</v>
      </c>
      <c r="K134" s="11">
        <f>IF(F134="Labor",IF(C134="USD",H134*I134,(H134*I134)/Setup!$B$7),IF(C134="USD",J134,J134/Setup!$B$7))</f>
        <v/>
      </c>
      <c r="L134" s="11">
        <f>K134*Setup!$B$7</f>
        <v/>
      </c>
      <c r="M134" s="10" t="n"/>
      <c r="N134" s="10" t="inlineStr">
        <is>
          <t>S</t>
        </is>
      </c>
      <c r="O134" s="10" t="n"/>
      <c r="P134" s="10" t="n"/>
    </row>
    <row r="135">
      <c r="A135" s="10" t="n"/>
      <c r="B135" s="11">
        <f>IF(A135="","",TEXT(A135,"yyyy-mm"))</f>
        <v/>
      </c>
      <c r="C135" s="10" t="inlineStr">
        <is>
          <t>USD</t>
        </is>
      </c>
      <c r="D135" s="10" t="n"/>
      <c r="E135" s="11">
        <f>IFERROR(VLOOKUP(D135,Recursos!$A$3:$F$100,2,FALSE),"")</f>
        <v/>
      </c>
      <c r="F135" s="10" t="n"/>
      <c r="G135" s="10" t="n"/>
      <c r="H135" s="14" t="n">
        <v>0</v>
      </c>
      <c r="I135" s="11">
        <f>IF(F135="Labor",IF(C135="USD",IFERROR(VLOOKUP(D135,Recursos!$A$3:$F$100,4,FALSE),""),IFERROR(VLOOKUP(D135,Recursos!$A$3:$F$100,5,FALSE),"")),"")</f>
        <v/>
      </c>
      <c r="J135" s="10" t="n">
        <v>0</v>
      </c>
      <c r="K135" s="11">
        <f>IF(F135="Labor",IF(C135="USD",H135*I135,(H135*I135)/Setup!$B$7),IF(C135="USD",J135,J135/Setup!$B$7))</f>
        <v/>
      </c>
      <c r="L135" s="11">
        <f>K135*Setup!$B$7</f>
        <v/>
      </c>
      <c r="M135" s="10" t="n"/>
      <c r="N135" s="10" t="inlineStr">
        <is>
          <t>S</t>
        </is>
      </c>
      <c r="O135" s="10" t="n"/>
      <c r="P135" s="10" t="n"/>
    </row>
    <row r="136">
      <c r="A136" s="10" t="n"/>
      <c r="B136" s="11">
        <f>IF(A136="","",TEXT(A136,"yyyy-mm"))</f>
        <v/>
      </c>
      <c r="C136" s="10" t="inlineStr">
        <is>
          <t>USD</t>
        </is>
      </c>
      <c r="D136" s="10" t="n"/>
      <c r="E136" s="11">
        <f>IFERROR(VLOOKUP(D136,Recursos!$A$3:$F$100,2,FALSE),"")</f>
        <v/>
      </c>
      <c r="F136" s="10" t="n"/>
      <c r="G136" s="10" t="n"/>
      <c r="H136" s="14" t="n">
        <v>0</v>
      </c>
      <c r="I136" s="11">
        <f>IF(F136="Labor",IF(C136="USD",IFERROR(VLOOKUP(D136,Recursos!$A$3:$F$100,4,FALSE),""),IFERROR(VLOOKUP(D136,Recursos!$A$3:$F$100,5,FALSE),"")),"")</f>
        <v/>
      </c>
      <c r="J136" s="10" t="n">
        <v>0</v>
      </c>
      <c r="K136" s="11">
        <f>IF(F136="Labor",IF(C136="USD",H136*I136,(H136*I136)/Setup!$B$7),IF(C136="USD",J136,J136/Setup!$B$7))</f>
        <v/>
      </c>
      <c r="L136" s="11">
        <f>K136*Setup!$B$7</f>
        <v/>
      </c>
      <c r="M136" s="10" t="n"/>
      <c r="N136" s="10" t="inlineStr">
        <is>
          <t>S</t>
        </is>
      </c>
      <c r="O136" s="10" t="n"/>
      <c r="P136" s="10" t="n"/>
    </row>
    <row r="137">
      <c r="A137" s="10" t="n"/>
      <c r="B137" s="11">
        <f>IF(A137="","",TEXT(A137,"yyyy-mm"))</f>
        <v/>
      </c>
      <c r="C137" s="10" t="inlineStr">
        <is>
          <t>USD</t>
        </is>
      </c>
      <c r="D137" s="10" t="n"/>
      <c r="E137" s="11">
        <f>IFERROR(VLOOKUP(D137,Recursos!$A$3:$F$100,2,FALSE),"")</f>
        <v/>
      </c>
      <c r="F137" s="10" t="n"/>
      <c r="G137" s="10" t="n"/>
      <c r="H137" s="14" t="n">
        <v>0</v>
      </c>
      <c r="I137" s="11">
        <f>IF(F137="Labor",IF(C137="USD",IFERROR(VLOOKUP(D137,Recursos!$A$3:$F$100,4,FALSE),""),IFERROR(VLOOKUP(D137,Recursos!$A$3:$F$100,5,FALSE),"")),"")</f>
        <v/>
      </c>
      <c r="J137" s="10" t="n">
        <v>0</v>
      </c>
      <c r="K137" s="11">
        <f>IF(F137="Labor",IF(C137="USD",H137*I137,(H137*I137)/Setup!$B$7),IF(C137="USD",J137,J137/Setup!$B$7))</f>
        <v/>
      </c>
      <c r="L137" s="11">
        <f>K137*Setup!$B$7</f>
        <v/>
      </c>
      <c r="M137" s="10" t="n"/>
      <c r="N137" s="10" t="inlineStr">
        <is>
          <t>S</t>
        </is>
      </c>
      <c r="O137" s="10" t="n"/>
      <c r="P137" s="10" t="n"/>
    </row>
    <row r="138">
      <c r="A138" s="10" t="n"/>
      <c r="B138" s="11">
        <f>IF(A138="","",TEXT(A138,"yyyy-mm"))</f>
        <v/>
      </c>
      <c r="C138" s="10" t="inlineStr">
        <is>
          <t>USD</t>
        </is>
      </c>
      <c r="D138" s="10" t="n"/>
      <c r="E138" s="11">
        <f>IFERROR(VLOOKUP(D138,Recursos!$A$3:$F$100,2,FALSE),"")</f>
        <v/>
      </c>
      <c r="F138" s="10" t="n"/>
      <c r="G138" s="10" t="n"/>
      <c r="H138" s="14" t="n">
        <v>0</v>
      </c>
      <c r="I138" s="11">
        <f>IF(F138="Labor",IF(C138="USD",IFERROR(VLOOKUP(D138,Recursos!$A$3:$F$100,4,FALSE),""),IFERROR(VLOOKUP(D138,Recursos!$A$3:$F$100,5,FALSE),"")),"")</f>
        <v/>
      </c>
      <c r="J138" s="10" t="n">
        <v>0</v>
      </c>
      <c r="K138" s="11">
        <f>IF(F138="Labor",IF(C138="USD",H138*I138,(H138*I138)/Setup!$B$7),IF(C138="USD",J138,J138/Setup!$B$7))</f>
        <v/>
      </c>
      <c r="L138" s="11">
        <f>K138*Setup!$B$7</f>
        <v/>
      </c>
      <c r="M138" s="10" t="n"/>
      <c r="N138" s="10" t="inlineStr">
        <is>
          <t>S</t>
        </is>
      </c>
      <c r="O138" s="10" t="n"/>
      <c r="P138" s="10" t="n"/>
    </row>
    <row r="139">
      <c r="A139" s="10" t="n"/>
      <c r="B139" s="11">
        <f>IF(A139="","",TEXT(A139,"yyyy-mm"))</f>
        <v/>
      </c>
      <c r="C139" s="10" t="inlineStr">
        <is>
          <t>USD</t>
        </is>
      </c>
      <c r="D139" s="10" t="n"/>
      <c r="E139" s="11">
        <f>IFERROR(VLOOKUP(D139,Recursos!$A$3:$F$100,2,FALSE),"")</f>
        <v/>
      </c>
      <c r="F139" s="10" t="n"/>
      <c r="G139" s="10" t="n"/>
      <c r="H139" s="14" t="n">
        <v>0</v>
      </c>
      <c r="I139" s="11">
        <f>IF(F139="Labor",IF(C139="USD",IFERROR(VLOOKUP(D139,Recursos!$A$3:$F$100,4,FALSE),""),IFERROR(VLOOKUP(D139,Recursos!$A$3:$F$100,5,FALSE),"")),"")</f>
        <v/>
      </c>
      <c r="J139" s="10" t="n">
        <v>0</v>
      </c>
      <c r="K139" s="11">
        <f>IF(F139="Labor",IF(C139="USD",H139*I139,(H139*I139)/Setup!$B$7),IF(C139="USD",J139,J139/Setup!$B$7))</f>
        <v/>
      </c>
      <c r="L139" s="11">
        <f>K139*Setup!$B$7</f>
        <v/>
      </c>
      <c r="M139" s="10" t="n"/>
      <c r="N139" s="10" t="inlineStr">
        <is>
          <t>S</t>
        </is>
      </c>
      <c r="O139" s="10" t="n"/>
      <c r="P139" s="10" t="n"/>
    </row>
    <row r="140">
      <c r="A140" s="10" t="n"/>
      <c r="B140" s="11">
        <f>IF(A140="","",TEXT(A140,"yyyy-mm"))</f>
        <v/>
      </c>
      <c r="C140" s="10" t="inlineStr">
        <is>
          <t>USD</t>
        </is>
      </c>
      <c r="D140" s="10" t="n"/>
      <c r="E140" s="11">
        <f>IFERROR(VLOOKUP(D140,Recursos!$A$3:$F$100,2,FALSE),"")</f>
        <v/>
      </c>
      <c r="F140" s="10" t="n"/>
      <c r="G140" s="10" t="n"/>
      <c r="H140" s="14" t="n">
        <v>0</v>
      </c>
      <c r="I140" s="11">
        <f>IF(F140="Labor",IF(C140="USD",IFERROR(VLOOKUP(D140,Recursos!$A$3:$F$100,4,FALSE),""),IFERROR(VLOOKUP(D140,Recursos!$A$3:$F$100,5,FALSE),"")),"")</f>
        <v/>
      </c>
      <c r="J140" s="10" t="n">
        <v>0</v>
      </c>
      <c r="K140" s="11">
        <f>IF(F140="Labor",IF(C140="USD",H140*I140,(H140*I140)/Setup!$B$7),IF(C140="USD",J140,J140/Setup!$B$7))</f>
        <v/>
      </c>
      <c r="L140" s="11">
        <f>K140*Setup!$B$7</f>
        <v/>
      </c>
      <c r="M140" s="10" t="n"/>
      <c r="N140" s="10" t="inlineStr">
        <is>
          <t>S</t>
        </is>
      </c>
      <c r="O140" s="10" t="n"/>
      <c r="P140" s="10" t="n"/>
    </row>
    <row r="141">
      <c r="A141" s="10" t="n"/>
      <c r="B141" s="11">
        <f>IF(A141="","",TEXT(A141,"yyyy-mm"))</f>
        <v/>
      </c>
      <c r="C141" s="10" t="inlineStr">
        <is>
          <t>USD</t>
        </is>
      </c>
      <c r="D141" s="10" t="n"/>
      <c r="E141" s="11">
        <f>IFERROR(VLOOKUP(D141,Recursos!$A$3:$F$100,2,FALSE),"")</f>
        <v/>
      </c>
      <c r="F141" s="10" t="n"/>
      <c r="G141" s="10" t="n"/>
      <c r="H141" s="14" t="n">
        <v>0</v>
      </c>
      <c r="I141" s="11">
        <f>IF(F141="Labor",IF(C141="USD",IFERROR(VLOOKUP(D141,Recursos!$A$3:$F$100,4,FALSE),""),IFERROR(VLOOKUP(D141,Recursos!$A$3:$F$100,5,FALSE),"")),"")</f>
        <v/>
      </c>
      <c r="J141" s="10" t="n">
        <v>0</v>
      </c>
      <c r="K141" s="11">
        <f>IF(F141="Labor",IF(C141="USD",H141*I141,(H141*I141)/Setup!$B$7),IF(C141="USD",J141,J141/Setup!$B$7))</f>
        <v/>
      </c>
      <c r="L141" s="11">
        <f>K141*Setup!$B$7</f>
        <v/>
      </c>
      <c r="M141" s="10" t="n"/>
      <c r="N141" s="10" t="inlineStr">
        <is>
          <t>S</t>
        </is>
      </c>
      <c r="O141" s="10" t="n"/>
      <c r="P141" s="10" t="n"/>
    </row>
    <row r="142">
      <c r="A142" s="10" t="n"/>
      <c r="B142" s="11">
        <f>IF(A142="","",TEXT(A142,"yyyy-mm"))</f>
        <v/>
      </c>
      <c r="C142" s="10" t="inlineStr">
        <is>
          <t>USD</t>
        </is>
      </c>
      <c r="D142" s="10" t="n"/>
      <c r="E142" s="11">
        <f>IFERROR(VLOOKUP(D142,Recursos!$A$3:$F$100,2,FALSE),"")</f>
        <v/>
      </c>
      <c r="F142" s="10" t="n"/>
      <c r="G142" s="10" t="n"/>
      <c r="H142" s="14" t="n">
        <v>0</v>
      </c>
      <c r="I142" s="11">
        <f>IF(F142="Labor",IF(C142="USD",IFERROR(VLOOKUP(D142,Recursos!$A$3:$F$100,4,FALSE),""),IFERROR(VLOOKUP(D142,Recursos!$A$3:$F$100,5,FALSE),"")),"")</f>
        <v/>
      </c>
      <c r="J142" s="10" t="n">
        <v>0</v>
      </c>
      <c r="K142" s="11">
        <f>IF(F142="Labor",IF(C142="USD",H142*I142,(H142*I142)/Setup!$B$7),IF(C142="USD",J142,J142/Setup!$B$7))</f>
        <v/>
      </c>
      <c r="L142" s="11">
        <f>K142*Setup!$B$7</f>
        <v/>
      </c>
      <c r="M142" s="10" t="n"/>
      <c r="N142" s="10" t="inlineStr">
        <is>
          <t>S</t>
        </is>
      </c>
      <c r="O142" s="10" t="n"/>
      <c r="P142" s="10" t="n"/>
    </row>
    <row r="143">
      <c r="A143" s="10" t="n"/>
      <c r="B143" s="11">
        <f>IF(A143="","",TEXT(A143,"yyyy-mm"))</f>
        <v/>
      </c>
      <c r="C143" s="10" t="inlineStr">
        <is>
          <t>USD</t>
        </is>
      </c>
      <c r="D143" s="10" t="n"/>
      <c r="E143" s="11">
        <f>IFERROR(VLOOKUP(D143,Recursos!$A$3:$F$100,2,FALSE),"")</f>
        <v/>
      </c>
      <c r="F143" s="10" t="n"/>
      <c r="G143" s="10" t="n"/>
      <c r="H143" s="14" t="n">
        <v>0</v>
      </c>
      <c r="I143" s="11">
        <f>IF(F143="Labor",IF(C143="USD",IFERROR(VLOOKUP(D143,Recursos!$A$3:$F$100,4,FALSE),""),IFERROR(VLOOKUP(D143,Recursos!$A$3:$F$100,5,FALSE),"")),"")</f>
        <v/>
      </c>
      <c r="J143" s="10" t="n">
        <v>0</v>
      </c>
      <c r="K143" s="11">
        <f>IF(F143="Labor",IF(C143="USD",H143*I143,(H143*I143)/Setup!$B$7),IF(C143="USD",J143,J143/Setup!$B$7))</f>
        <v/>
      </c>
      <c r="L143" s="11">
        <f>K143*Setup!$B$7</f>
        <v/>
      </c>
      <c r="M143" s="10" t="n"/>
      <c r="N143" s="10" t="inlineStr">
        <is>
          <t>S</t>
        </is>
      </c>
      <c r="O143" s="10" t="n"/>
      <c r="P143" s="10" t="n"/>
    </row>
    <row r="144">
      <c r="A144" s="10" t="n"/>
      <c r="B144" s="11">
        <f>IF(A144="","",TEXT(A144,"yyyy-mm"))</f>
        <v/>
      </c>
      <c r="C144" s="10" t="inlineStr">
        <is>
          <t>USD</t>
        </is>
      </c>
      <c r="D144" s="10" t="n"/>
      <c r="E144" s="11">
        <f>IFERROR(VLOOKUP(D144,Recursos!$A$3:$F$100,2,FALSE),"")</f>
        <v/>
      </c>
      <c r="F144" s="10" t="n"/>
      <c r="G144" s="10" t="n"/>
      <c r="H144" s="14" t="n">
        <v>0</v>
      </c>
      <c r="I144" s="11">
        <f>IF(F144="Labor",IF(C144="USD",IFERROR(VLOOKUP(D144,Recursos!$A$3:$F$100,4,FALSE),""),IFERROR(VLOOKUP(D144,Recursos!$A$3:$F$100,5,FALSE),"")),"")</f>
        <v/>
      </c>
      <c r="J144" s="10" t="n">
        <v>0</v>
      </c>
      <c r="K144" s="11">
        <f>IF(F144="Labor",IF(C144="USD",H144*I144,(H144*I144)/Setup!$B$7),IF(C144="USD",J144,J144/Setup!$B$7))</f>
        <v/>
      </c>
      <c r="L144" s="11">
        <f>K144*Setup!$B$7</f>
        <v/>
      </c>
      <c r="M144" s="10" t="n"/>
      <c r="N144" s="10" t="inlineStr">
        <is>
          <t>S</t>
        </is>
      </c>
      <c r="O144" s="10" t="n"/>
      <c r="P144" s="10" t="n"/>
    </row>
    <row r="145">
      <c r="A145" s="10" t="n"/>
      <c r="B145" s="11">
        <f>IF(A145="","",TEXT(A145,"yyyy-mm"))</f>
        <v/>
      </c>
      <c r="C145" s="10" t="inlineStr">
        <is>
          <t>USD</t>
        </is>
      </c>
      <c r="D145" s="10" t="n"/>
      <c r="E145" s="11">
        <f>IFERROR(VLOOKUP(D145,Recursos!$A$3:$F$100,2,FALSE),"")</f>
        <v/>
      </c>
      <c r="F145" s="10" t="n"/>
      <c r="G145" s="10" t="n"/>
      <c r="H145" s="14" t="n">
        <v>0</v>
      </c>
      <c r="I145" s="11">
        <f>IF(F145="Labor",IF(C145="USD",IFERROR(VLOOKUP(D145,Recursos!$A$3:$F$100,4,FALSE),""),IFERROR(VLOOKUP(D145,Recursos!$A$3:$F$100,5,FALSE),"")),"")</f>
        <v/>
      </c>
      <c r="J145" s="10" t="n">
        <v>0</v>
      </c>
      <c r="K145" s="11">
        <f>IF(F145="Labor",IF(C145="USD",H145*I145,(H145*I145)/Setup!$B$7),IF(C145="USD",J145,J145/Setup!$B$7))</f>
        <v/>
      </c>
      <c r="L145" s="11">
        <f>K145*Setup!$B$7</f>
        <v/>
      </c>
      <c r="M145" s="10" t="n"/>
      <c r="N145" s="10" t="inlineStr">
        <is>
          <t>S</t>
        </is>
      </c>
      <c r="O145" s="10" t="n"/>
      <c r="P145" s="10" t="n"/>
    </row>
    <row r="146">
      <c r="A146" s="10" t="n"/>
      <c r="B146" s="11">
        <f>IF(A146="","",TEXT(A146,"yyyy-mm"))</f>
        <v/>
      </c>
      <c r="C146" s="10" t="inlineStr">
        <is>
          <t>USD</t>
        </is>
      </c>
      <c r="D146" s="10" t="n"/>
      <c r="E146" s="11">
        <f>IFERROR(VLOOKUP(D146,Recursos!$A$3:$F$100,2,FALSE),"")</f>
        <v/>
      </c>
      <c r="F146" s="10" t="n"/>
      <c r="G146" s="10" t="n"/>
      <c r="H146" s="14" t="n">
        <v>0</v>
      </c>
      <c r="I146" s="11">
        <f>IF(F146="Labor",IF(C146="USD",IFERROR(VLOOKUP(D146,Recursos!$A$3:$F$100,4,FALSE),""),IFERROR(VLOOKUP(D146,Recursos!$A$3:$F$100,5,FALSE),"")),"")</f>
        <v/>
      </c>
      <c r="J146" s="10" t="n">
        <v>0</v>
      </c>
      <c r="K146" s="11">
        <f>IF(F146="Labor",IF(C146="USD",H146*I146,(H146*I146)/Setup!$B$7),IF(C146="USD",J146,J146/Setup!$B$7))</f>
        <v/>
      </c>
      <c r="L146" s="11">
        <f>K146*Setup!$B$7</f>
        <v/>
      </c>
      <c r="M146" s="10" t="n"/>
      <c r="N146" s="10" t="inlineStr">
        <is>
          <t>S</t>
        </is>
      </c>
      <c r="O146" s="10" t="n"/>
      <c r="P146" s="10" t="n"/>
    </row>
    <row r="147">
      <c r="A147" s="10" t="n"/>
      <c r="B147" s="11">
        <f>IF(A147="","",TEXT(A147,"yyyy-mm"))</f>
        <v/>
      </c>
      <c r="C147" s="10" t="inlineStr">
        <is>
          <t>USD</t>
        </is>
      </c>
      <c r="D147" s="10" t="n"/>
      <c r="E147" s="11">
        <f>IFERROR(VLOOKUP(D147,Recursos!$A$3:$F$100,2,FALSE),"")</f>
        <v/>
      </c>
      <c r="F147" s="10" t="n"/>
      <c r="G147" s="10" t="n"/>
      <c r="H147" s="14" t="n">
        <v>0</v>
      </c>
      <c r="I147" s="11">
        <f>IF(F147="Labor",IF(C147="USD",IFERROR(VLOOKUP(D147,Recursos!$A$3:$F$100,4,FALSE),""),IFERROR(VLOOKUP(D147,Recursos!$A$3:$F$100,5,FALSE),"")),"")</f>
        <v/>
      </c>
      <c r="J147" s="10" t="n">
        <v>0</v>
      </c>
      <c r="K147" s="11">
        <f>IF(F147="Labor",IF(C147="USD",H147*I147,(H147*I147)/Setup!$B$7),IF(C147="USD",J147,J147/Setup!$B$7))</f>
        <v/>
      </c>
      <c r="L147" s="11">
        <f>K147*Setup!$B$7</f>
        <v/>
      </c>
      <c r="M147" s="10" t="n"/>
      <c r="N147" s="10" t="inlineStr">
        <is>
          <t>S</t>
        </is>
      </c>
      <c r="O147" s="10" t="n"/>
      <c r="P147" s="10" t="n"/>
    </row>
    <row r="148">
      <c r="A148" s="10" t="n"/>
      <c r="B148" s="11">
        <f>IF(A148="","",TEXT(A148,"yyyy-mm"))</f>
        <v/>
      </c>
      <c r="C148" s="10" t="inlineStr">
        <is>
          <t>USD</t>
        </is>
      </c>
      <c r="D148" s="10" t="n"/>
      <c r="E148" s="11">
        <f>IFERROR(VLOOKUP(D148,Recursos!$A$3:$F$100,2,FALSE),"")</f>
        <v/>
      </c>
      <c r="F148" s="10" t="n"/>
      <c r="G148" s="10" t="n"/>
      <c r="H148" s="14" t="n">
        <v>0</v>
      </c>
      <c r="I148" s="11">
        <f>IF(F148="Labor",IF(C148="USD",IFERROR(VLOOKUP(D148,Recursos!$A$3:$F$100,4,FALSE),""),IFERROR(VLOOKUP(D148,Recursos!$A$3:$F$100,5,FALSE),"")),"")</f>
        <v/>
      </c>
      <c r="J148" s="10" t="n">
        <v>0</v>
      </c>
      <c r="K148" s="11">
        <f>IF(F148="Labor",IF(C148="USD",H148*I148,(H148*I148)/Setup!$B$7),IF(C148="USD",J148,J148/Setup!$B$7))</f>
        <v/>
      </c>
      <c r="L148" s="11">
        <f>K148*Setup!$B$7</f>
        <v/>
      </c>
      <c r="M148" s="10" t="n"/>
      <c r="N148" s="10" t="inlineStr">
        <is>
          <t>S</t>
        </is>
      </c>
      <c r="O148" s="10" t="n"/>
      <c r="P148" s="10" t="n"/>
    </row>
    <row r="149">
      <c r="A149" s="10" t="n"/>
      <c r="B149" s="11">
        <f>IF(A149="","",TEXT(A149,"yyyy-mm"))</f>
        <v/>
      </c>
      <c r="C149" s="10" t="inlineStr">
        <is>
          <t>USD</t>
        </is>
      </c>
      <c r="D149" s="10" t="n"/>
      <c r="E149" s="11">
        <f>IFERROR(VLOOKUP(D149,Recursos!$A$3:$F$100,2,FALSE),"")</f>
        <v/>
      </c>
      <c r="F149" s="10" t="n"/>
      <c r="G149" s="10" t="n"/>
      <c r="H149" s="14" t="n">
        <v>0</v>
      </c>
      <c r="I149" s="11">
        <f>IF(F149="Labor",IF(C149="USD",IFERROR(VLOOKUP(D149,Recursos!$A$3:$F$100,4,FALSE),""),IFERROR(VLOOKUP(D149,Recursos!$A$3:$F$100,5,FALSE),"")),"")</f>
        <v/>
      </c>
      <c r="J149" s="10" t="n">
        <v>0</v>
      </c>
      <c r="K149" s="11">
        <f>IF(F149="Labor",IF(C149="USD",H149*I149,(H149*I149)/Setup!$B$7),IF(C149="USD",J149,J149/Setup!$B$7))</f>
        <v/>
      </c>
      <c r="L149" s="11">
        <f>K149*Setup!$B$7</f>
        <v/>
      </c>
      <c r="M149" s="10" t="n"/>
      <c r="N149" s="10" t="inlineStr">
        <is>
          <t>S</t>
        </is>
      </c>
      <c r="O149" s="10" t="n"/>
      <c r="P149" s="10" t="n"/>
    </row>
    <row r="150">
      <c r="A150" s="10" t="n"/>
      <c r="B150" s="11">
        <f>IF(A150="","",TEXT(A150,"yyyy-mm"))</f>
        <v/>
      </c>
      <c r="C150" s="10" t="inlineStr">
        <is>
          <t>USD</t>
        </is>
      </c>
      <c r="D150" s="10" t="n"/>
      <c r="E150" s="11">
        <f>IFERROR(VLOOKUP(D150,Recursos!$A$3:$F$100,2,FALSE),"")</f>
        <v/>
      </c>
      <c r="F150" s="10" t="n"/>
      <c r="G150" s="10" t="n"/>
      <c r="H150" s="14" t="n">
        <v>0</v>
      </c>
      <c r="I150" s="11">
        <f>IF(F150="Labor",IF(C150="USD",IFERROR(VLOOKUP(D150,Recursos!$A$3:$F$100,4,FALSE),""),IFERROR(VLOOKUP(D150,Recursos!$A$3:$F$100,5,FALSE),"")),"")</f>
        <v/>
      </c>
      <c r="J150" s="10" t="n">
        <v>0</v>
      </c>
      <c r="K150" s="11">
        <f>IF(F150="Labor",IF(C150="USD",H150*I150,(H150*I150)/Setup!$B$7),IF(C150="USD",J150,J150/Setup!$B$7))</f>
        <v/>
      </c>
      <c r="L150" s="11">
        <f>K150*Setup!$B$7</f>
        <v/>
      </c>
      <c r="M150" s="10" t="n"/>
      <c r="N150" s="10" t="inlineStr">
        <is>
          <t>S</t>
        </is>
      </c>
      <c r="O150" s="10" t="n"/>
      <c r="P150" s="10" t="n"/>
    </row>
    <row r="151">
      <c r="A151" s="10" t="n"/>
      <c r="B151" s="11">
        <f>IF(A151="","",TEXT(A151,"yyyy-mm"))</f>
        <v/>
      </c>
      <c r="C151" s="10" t="inlineStr">
        <is>
          <t>USD</t>
        </is>
      </c>
      <c r="D151" s="10" t="n"/>
      <c r="E151" s="11">
        <f>IFERROR(VLOOKUP(D151,Recursos!$A$3:$F$100,2,FALSE),"")</f>
        <v/>
      </c>
      <c r="F151" s="10" t="n"/>
      <c r="G151" s="10" t="n"/>
      <c r="H151" s="14" t="n">
        <v>0</v>
      </c>
      <c r="I151" s="11">
        <f>IF(F151="Labor",IF(C151="USD",IFERROR(VLOOKUP(D151,Recursos!$A$3:$F$100,4,FALSE),""),IFERROR(VLOOKUP(D151,Recursos!$A$3:$F$100,5,FALSE),"")),"")</f>
        <v/>
      </c>
      <c r="J151" s="10" t="n">
        <v>0</v>
      </c>
      <c r="K151" s="11">
        <f>IF(F151="Labor",IF(C151="USD",H151*I151,(H151*I151)/Setup!$B$7),IF(C151="USD",J151,J151/Setup!$B$7))</f>
        <v/>
      </c>
      <c r="L151" s="11">
        <f>K151*Setup!$B$7</f>
        <v/>
      </c>
      <c r="M151" s="10" t="n"/>
      <c r="N151" s="10" t="inlineStr">
        <is>
          <t>S</t>
        </is>
      </c>
      <c r="O151" s="10" t="n"/>
      <c r="P151" s="10" t="n"/>
    </row>
    <row r="152">
      <c r="A152" s="10" t="n"/>
      <c r="B152" s="11">
        <f>IF(A152="","",TEXT(A152,"yyyy-mm"))</f>
        <v/>
      </c>
      <c r="C152" s="10" t="inlineStr">
        <is>
          <t>USD</t>
        </is>
      </c>
      <c r="D152" s="10" t="n"/>
      <c r="E152" s="11">
        <f>IFERROR(VLOOKUP(D152,Recursos!$A$3:$F$100,2,FALSE),"")</f>
        <v/>
      </c>
      <c r="F152" s="10" t="n"/>
      <c r="G152" s="10" t="n"/>
      <c r="H152" s="14" t="n">
        <v>0</v>
      </c>
      <c r="I152" s="11">
        <f>IF(F152="Labor",IF(C152="USD",IFERROR(VLOOKUP(D152,Recursos!$A$3:$F$100,4,FALSE),""),IFERROR(VLOOKUP(D152,Recursos!$A$3:$F$100,5,FALSE),"")),"")</f>
        <v/>
      </c>
      <c r="J152" s="10" t="n">
        <v>0</v>
      </c>
      <c r="K152" s="11">
        <f>IF(F152="Labor",IF(C152="USD",H152*I152,(H152*I152)/Setup!$B$7),IF(C152="USD",J152,J152/Setup!$B$7))</f>
        <v/>
      </c>
      <c r="L152" s="11">
        <f>K152*Setup!$B$7</f>
        <v/>
      </c>
      <c r="M152" s="10" t="n"/>
      <c r="N152" s="10" t="inlineStr">
        <is>
          <t>S</t>
        </is>
      </c>
      <c r="O152" s="10" t="n"/>
      <c r="P152" s="10" t="n"/>
    </row>
    <row r="153">
      <c r="A153" s="10" t="n"/>
      <c r="B153" s="11">
        <f>IF(A153="","",TEXT(A153,"yyyy-mm"))</f>
        <v/>
      </c>
      <c r="C153" s="10" t="inlineStr">
        <is>
          <t>USD</t>
        </is>
      </c>
      <c r="D153" s="10" t="n"/>
      <c r="E153" s="11">
        <f>IFERROR(VLOOKUP(D153,Recursos!$A$3:$F$100,2,FALSE),"")</f>
        <v/>
      </c>
      <c r="F153" s="10" t="n"/>
      <c r="G153" s="10" t="n"/>
      <c r="H153" s="14" t="n">
        <v>0</v>
      </c>
      <c r="I153" s="11">
        <f>IF(F153="Labor",IF(C153="USD",IFERROR(VLOOKUP(D153,Recursos!$A$3:$F$100,4,FALSE),""),IFERROR(VLOOKUP(D153,Recursos!$A$3:$F$100,5,FALSE),"")),"")</f>
        <v/>
      </c>
      <c r="J153" s="10" t="n">
        <v>0</v>
      </c>
      <c r="K153" s="11">
        <f>IF(F153="Labor",IF(C153="USD",H153*I153,(H153*I153)/Setup!$B$7),IF(C153="USD",J153,J153/Setup!$B$7))</f>
        <v/>
      </c>
      <c r="L153" s="11">
        <f>K153*Setup!$B$7</f>
        <v/>
      </c>
      <c r="M153" s="10" t="n"/>
      <c r="N153" s="10" t="inlineStr">
        <is>
          <t>S</t>
        </is>
      </c>
      <c r="O153" s="10" t="n"/>
      <c r="P153" s="10" t="n"/>
    </row>
    <row r="154">
      <c r="A154" s="10" t="n"/>
      <c r="B154" s="11">
        <f>IF(A154="","",TEXT(A154,"yyyy-mm"))</f>
        <v/>
      </c>
      <c r="C154" s="10" t="inlineStr">
        <is>
          <t>USD</t>
        </is>
      </c>
      <c r="D154" s="10" t="n"/>
      <c r="E154" s="11">
        <f>IFERROR(VLOOKUP(D154,Recursos!$A$3:$F$100,2,FALSE),"")</f>
        <v/>
      </c>
      <c r="F154" s="10" t="n"/>
      <c r="G154" s="10" t="n"/>
      <c r="H154" s="14" t="n">
        <v>0</v>
      </c>
      <c r="I154" s="11">
        <f>IF(F154="Labor",IF(C154="USD",IFERROR(VLOOKUP(D154,Recursos!$A$3:$F$100,4,FALSE),""),IFERROR(VLOOKUP(D154,Recursos!$A$3:$F$100,5,FALSE),"")),"")</f>
        <v/>
      </c>
      <c r="J154" s="10" t="n">
        <v>0</v>
      </c>
      <c r="K154" s="11">
        <f>IF(F154="Labor",IF(C154="USD",H154*I154,(H154*I154)/Setup!$B$7),IF(C154="USD",J154,J154/Setup!$B$7))</f>
        <v/>
      </c>
      <c r="L154" s="11">
        <f>K154*Setup!$B$7</f>
        <v/>
      </c>
      <c r="M154" s="10" t="n"/>
      <c r="N154" s="10" t="inlineStr">
        <is>
          <t>S</t>
        </is>
      </c>
      <c r="O154" s="10" t="n"/>
      <c r="P154" s="10" t="n"/>
    </row>
    <row r="155">
      <c r="A155" s="10" t="n"/>
      <c r="B155" s="11">
        <f>IF(A155="","",TEXT(A155,"yyyy-mm"))</f>
        <v/>
      </c>
      <c r="C155" s="10" t="inlineStr">
        <is>
          <t>USD</t>
        </is>
      </c>
      <c r="D155" s="10" t="n"/>
      <c r="E155" s="11">
        <f>IFERROR(VLOOKUP(D155,Recursos!$A$3:$F$100,2,FALSE),"")</f>
        <v/>
      </c>
      <c r="F155" s="10" t="n"/>
      <c r="G155" s="10" t="n"/>
      <c r="H155" s="14" t="n">
        <v>0</v>
      </c>
      <c r="I155" s="11">
        <f>IF(F155="Labor",IF(C155="USD",IFERROR(VLOOKUP(D155,Recursos!$A$3:$F$100,4,FALSE),""),IFERROR(VLOOKUP(D155,Recursos!$A$3:$F$100,5,FALSE),"")),"")</f>
        <v/>
      </c>
      <c r="J155" s="10" t="n">
        <v>0</v>
      </c>
      <c r="K155" s="11">
        <f>IF(F155="Labor",IF(C155="USD",H155*I155,(H155*I155)/Setup!$B$7),IF(C155="USD",J155,J155/Setup!$B$7))</f>
        <v/>
      </c>
      <c r="L155" s="11">
        <f>K155*Setup!$B$7</f>
        <v/>
      </c>
      <c r="M155" s="10" t="n"/>
      <c r="N155" s="10" t="inlineStr">
        <is>
          <t>S</t>
        </is>
      </c>
      <c r="O155" s="10" t="n"/>
      <c r="P155" s="10" t="n"/>
    </row>
    <row r="156">
      <c r="A156" s="10" t="n"/>
      <c r="B156" s="11">
        <f>IF(A156="","",TEXT(A156,"yyyy-mm"))</f>
        <v/>
      </c>
      <c r="C156" s="10" t="inlineStr">
        <is>
          <t>USD</t>
        </is>
      </c>
      <c r="D156" s="10" t="n"/>
      <c r="E156" s="11">
        <f>IFERROR(VLOOKUP(D156,Recursos!$A$3:$F$100,2,FALSE),"")</f>
        <v/>
      </c>
      <c r="F156" s="10" t="n"/>
      <c r="G156" s="10" t="n"/>
      <c r="H156" s="14" t="n">
        <v>0</v>
      </c>
      <c r="I156" s="11">
        <f>IF(F156="Labor",IF(C156="USD",IFERROR(VLOOKUP(D156,Recursos!$A$3:$F$100,4,FALSE),""),IFERROR(VLOOKUP(D156,Recursos!$A$3:$F$100,5,FALSE),"")),"")</f>
        <v/>
      </c>
      <c r="J156" s="10" t="n">
        <v>0</v>
      </c>
      <c r="K156" s="11">
        <f>IF(F156="Labor",IF(C156="USD",H156*I156,(H156*I156)/Setup!$B$7),IF(C156="USD",J156,J156/Setup!$B$7))</f>
        <v/>
      </c>
      <c r="L156" s="11">
        <f>K156*Setup!$B$7</f>
        <v/>
      </c>
      <c r="M156" s="10" t="n"/>
      <c r="N156" s="10" t="inlineStr">
        <is>
          <t>S</t>
        </is>
      </c>
      <c r="O156" s="10" t="n"/>
      <c r="P156" s="10" t="n"/>
    </row>
    <row r="157">
      <c r="A157" s="10" t="n"/>
      <c r="B157" s="11">
        <f>IF(A157="","",TEXT(A157,"yyyy-mm"))</f>
        <v/>
      </c>
      <c r="C157" s="10" t="inlineStr">
        <is>
          <t>USD</t>
        </is>
      </c>
      <c r="D157" s="10" t="n"/>
      <c r="E157" s="11">
        <f>IFERROR(VLOOKUP(D157,Recursos!$A$3:$F$100,2,FALSE),"")</f>
        <v/>
      </c>
      <c r="F157" s="10" t="n"/>
      <c r="G157" s="10" t="n"/>
      <c r="H157" s="14" t="n">
        <v>0</v>
      </c>
      <c r="I157" s="11">
        <f>IF(F157="Labor",IF(C157="USD",IFERROR(VLOOKUP(D157,Recursos!$A$3:$F$100,4,FALSE),""),IFERROR(VLOOKUP(D157,Recursos!$A$3:$F$100,5,FALSE),"")),"")</f>
        <v/>
      </c>
      <c r="J157" s="10" t="n">
        <v>0</v>
      </c>
      <c r="K157" s="11">
        <f>IF(F157="Labor",IF(C157="USD",H157*I157,(H157*I157)/Setup!$B$7),IF(C157="USD",J157,J157/Setup!$B$7))</f>
        <v/>
      </c>
      <c r="L157" s="11">
        <f>K157*Setup!$B$7</f>
        <v/>
      </c>
      <c r="M157" s="10" t="n"/>
      <c r="N157" s="10" t="inlineStr">
        <is>
          <t>S</t>
        </is>
      </c>
      <c r="O157" s="10" t="n"/>
      <c r="P157" s="10" t="n"/>
    </row>
    <row r="158">
      <c r="A158" s="10" t="n"/>
      <c r="B158" s="11">
        <f>IF(A158="","",TEXT(A158,"yyyy-mm"))</f>
        <v/>
      </c>
      <c r="C158" s="10" t="inlineStr">
        <is>
          <t>USD</t>
        </is>
      </c>
      <c r="D158" s="10" t="n"/>
      <c r="E158" s="11">
        <f>IFERROR(VLOOKUP(D158,Recursos!$A$3:$F$100,2,FALSE),"")</f>
        <v/>
      </c>
      <c r="F158" s="10" t="n"/>
      <c r="G158" s="10" t="n"/>
      <c r="H158" s="14" t="n">
        <v>0</v>
      </c>
      <c r="I158" s="11">
        <f>IF(F158="Labor",IF(C158="USD",IFERROR(VLOOKUP(D158,Recursos!$A$3:$F$100,4,FALSE),""),IFERROR(VLOOKUP(D158,Recursos!$A$3:$F$100,5,FALSE),"")),"")</f>
        <v/>
      </c>
      <c r="J158" s="10" t="n">
        <v>0</v>
      </c>
      <c r="K158" s="11">
        <f>IF(F158="Labor",IF(C158="USD",H158*I158,(H158*I158)/Setup!$B$7),IF(C158="USD",J158,J158/Setup!$B$7))</f>
        <v/>
      </c>
      <c r="L158" s="11">
        <f>K158*Setup!$B$7</f>
        <v/>
      </c>
      <c r="M158" s="10" t="n"/>
      <c r="N158" s="10" t="inlineStr">
        <is>
          <t>S</t>
        </is>
      </c>
      <c r="O158" s="10" t="n"/>
      <c r="P158" s="10" t="n"/>
    </row>
    <row r="159">
      <c r="A159" s="10" t="n"/>
      <c r="B159" s="11">
        <f>IF(A159="","",TEXT(A159,"yyyy-mm"))</f>
        <v/>
      </c>
      <c r="C159" s="10" t="inlineStr">
        <is>
          <t>USD</t>
        </is>
      </c>
      <c r="D159" s="10" t="n"/>
      <c r="E159" s="11">
        <f>IFERROR(VLOOKUP(D159,Recursos!$A$3:$F$100,2,FALSE),"")</f>
        <v/>
      </c>
      <c r="F159" s="10" t="n"/>
      <c r="G159" s="10" t="n"/>
      <c r="H159" s="14" t="n">
        <v>0</v>
      </c>
      <c r="I159" s="11">
        <f>IF(F159="Labor",IF(C159="USD",IFERROR(VLOOKUP(D159,Recursos!$A$3:$F$100,4,FALSE),""),IFERROR(VLOOKUP(D159,Recursos!$A$3:$F$100,5,FALSE),"")),"")</f>
        <v/>
      </c>
      <c r="J159" s="10" t="n">
        <v>0</v>
      </c>
      <c r="K159" s="11">
        <f>IF(F159="Labor",IF(C159="USD",H159*I159,(H159*I159)/Setup!$B$7),IF(C159="USD",J159,J159/Setup!$B$7))</f>
        <v/>
      </c>
      <c r="L159" s="11">
        <f>K159*Setup!$B$7</f>
        <v/>
      </c>
      <c r="M159" s="10" t="n"/>
      <c r="N159" s="10" t="inlineStr">
        <is>
          <t>S</t>
        </is>
      </c>
      <c r="O159" s="10" t="n"/>
      <c r="P159" s="10" t="n"/>
    </row>
    <row r="160">
      <c r="A160" s="10" t="n"/>
      <c r="B160" s="11">
        <f>IF(A160="","",TEXT(A160,"yyyy-mm"))</f>
        <v/>
      </c>
      <c r="C160" s="10" t="inlineStr">
        <is>
          <t>USD</t>
        </is>
      </c>
      <c r="D160" s="10" t="n"/>
      <c r="E160" s="11">
        <f>IFERROR(VLOOKUP(D160,Recursos!$A$3:$F$100,2,FALSE),"")</f>
        <v/>
      </c>
      <c r="F160" s="10" t="n"/>
      <c r="G160" s="10" t="n"/>
      <c r="H160" s="14" t="n">
        <v>0</v>
      </c>
      <c r="I160" s="11">
        <f>IF(F160="Labor",IF(C160="USD",IFERROR(VLOOKUP(D160,Recursos!$A$3:$F$100,4,FALSE),""),IFERROR(VLOOKUP(D160,Recursos!$A$3:$F$100,5,FALSE),"")),"")</f>
        <v/>
      </c>
      <c r="J160" s="10" t="n">
        <v>0</v>
      </c>
      <c r="K160" s="11">
        <f>IF(F160="Labor",IF(C160="USD",H160*I160,(H160*I160)/Setup!$B$7),IF(C160="USD",J160,J160/Setup!$B$7))</f>
        <v/>
      </c>
      <c r="L160" s="11">
        <f>K160*Setup!$B$7</f>
        <v/>
      </c>
      <c r="M160" s="10" t="n"/>
      <c r="N160" s="10" t="inlineStr">
        <is>
          <t>S</t>
        </is>
      </c>
      <c r="O160" s="10" t="n"/>
      <c r="P160" s="10" t="n"/>
    </row>
    <row r="161">
      <c r="A161" s="10" t="n"/>
      <c r="B161" s="11">
        <f>IF(A161="","",TEXT(A161,"yyyy-mm"))</f>
        <v/>
      </c>
      <c r="C161" s="10" t="inlineStr">
        <is>
          <t>USD</t>
        </is>
      </c>
      <c r="D161" s="10" t="n"/>
      <c r="E161" s="11">
        <f>IFERROR(VLOOKUP(D161,Recursos!$A$3:$F$100,2,FALSE),"")</f>
        <v/>
      </c>
      <c r="F161" s="10" t="n"/>
      <c r="G161" s="10" t="n"/>
      <c r="H161" s="14" t="n">
        <v>0</v>
      </c>
      <c r="I161" s="11">
        <f>IF(F161="Labor",IF(C161="USD",IFERROR(VLOOKUP(D161,Recursos!$A$3:$F$100,4,FALSE),""),IFERROR(VLOOKUP(D161,Recursos!$A$3:$F$100,5,FALSE),"")),"")</f>
        <v/>
      </c>
      <c r="J161" s="10" t="n">
        <v>0</v>
      </c>
      <c r="K161" s="11">
        <f>IF(F161="Labor",IF(C161="USD",H161*I161,(H161*I161)/Setup!$B$7),IF(C161="USD",J161,J161/Setup!$B$7))</f>
        <v/>
      </c>
      <c r="L161" s="11">
        <f>K161*Setup!$B$7</f>
        <v/>
      </c>
      <c r="M161" s="10" t="n"/>
      <c r="N161" s="10" t="inlineStr">
        <is>
          <t>S</t>
        </is>
      </c>
      <c r="O161" s="10" t="n"/>
      <c r="P161" s="10" t="n"/>
    </row>
    <row r="162">
      <c r="A162" s="10" t="n"/>
      <c r="B162" s="11">
        <f>IF(A162="","",TEXT(A162,"yyyy-mm"))</f>
        <v/>
      </c>
      <c r="C162" s="10" t="inlineStr">
        <is>
          <t>USD</t>
        </is>
      </c>
      <c r="D162" s="10" t="n"/>
      <c r="E162" s="11">
        <f>IFERROR(VLOOKUP(D162,Recursos!$A$3:$F$100,2,FALSE),"")</f>
        <v/>
      </c>
      <c r="F162" s="10" t="n"/>
      <c r="G162" s="10" t="n"/>
      <c r="H162" s="14" t="n">
        <v>0</v>
      </c>
      <c r="I162" s="11">
        <f>IF(F162="Labor",IF(C162="USD",IFERROR(VLOOKUP(D162,Recursos!$A$3:$F$100,4,FALSE),""),IFERROR(VLOOKUP(D162,Recursos!$A$3:$F$100,5,FALSE),"")),"")</f>
        <v/>
      </c>
      <c r="J162" s="10" t="n">
        <v>0</v>
      </c>
      <c r="K162" s="11">
        <f>IF(F162="Labor",IF(C162="USD",H162*I162,(H162*I162)/Setup!$B$7),IF(C162="USD",J162,J162/Setup!$B$7))</f>
        <v/>
      </c>
      <c r="L162" s="11">
        <f>K162*Setup!$B$7</f>
        <v/>
      </c>
      <c r="M162" s="10" t="n"/>
      <c r="N162" s="10" t="inlineStr">
        <is>
          <t>S</t>
        </is>
      </c>
      <c r="O162" s="10" t="n"/>
      <c r="P162" s="10" t="n"/>
    </row>
    <row r="163">
      <c r="A163" s="10" t="n"/>
      <c r="B163" s="11">
        <f>IF(A163="","",TEXT(A163,"yyyy-mm"))</f>
        <v/>
      </c>
      <c r="C163" s="10" t="inlineStr">
        <is>
          <t>USD</t>
        </is>
      </c>
      <c r="D163" s="10" t="n"/>
      <c r="E163" s="11">
        <f>IFERROR(VLOOKUP(D163,Recursos!$A$3:$F$100,2,FALSE),"")</f>
        <v/>
      </c>
      <c r="F163" s="10" t="n"/>
      <c r="G163" s="10" t="n"/>
      <c r="H163" s="14" t="n">
        <v>0</v>
      </c>
      <c r="I163" s="11">
        <f>IF(F163="Labor",IF(C163="USD",IFERROR(VLOOKUP(D163,Recursos!$A$3:$F$100,4,FALSE),""),IFERROR(VLOOKUP(D163,Recursos!$A$3:$F$100,5,FALSE),"")),"")</f>
        <v/>
      </c>
      <c r="J163" s="10" t="n">
        <v>0</v>
      </c>
      <c r="K163" s="11">
        <f>IF(F163="Labor",IF(C163="USD",H163*I163,(H163*I163)/Setup!$B$7),IF(C163="USD",J163,J163/Setup!$B$7))</f>
        <v/>
      </c>
      <c r="L163" s="11">
        <f>K163*Setup!$B$7</f>
        <v/>
      </c>
      <c r="M163" s="10" t="n"/>
      <c r="N163" s="10" t="inlineStr">
        <is>
          <t>S</t>
        </is>
      </c>
      <c r="O163" s="10" t="n"/>
      <c r="P163" s="10" t="n"/>
    </row>
    <row r="164">
      <c r="A164" s="10" t="n"/>
      <c r="B164" s="11">
        <f>IF(A164="","",TEXT(A164,"yyyy-mm"))</f>
        <v/>
      </c>
      <c r="C164" s="10" t="inlineStr">
        <is>
          <t>USD</t>
        </is>
      </c>
      <c r="D164" s="10" t="n"/>
      <c r="E164" s="11">
        <f>IFERROR(VLOOKUP(D164,Recursos!$A$3:$F$100,2,FALSE),"")</f>
        <v/>
      </c>
      <c r="F164" s="10" t="n"/>
      <c r="G164" s="10" t="n"/>
      <c r="H164" s="14" t="n">
        <v>0</v>
      </c>
      <c r="I164" s="11">
        <f>IF(F164="Labor",IF(C164="USD",IFERROR(VLOOKUP(D164,Recursos!$A$3:$F$100,4,FALSE),""),IFERROR(VLOOKUP(D164,Recursos!$A$3:$F$100,5,FALSE),"")),"")</f>
        <v/>
      </c>
      <c r="J164" s="10" t="n">
        <v>0</v>
      </c>
      <c r="K164" s="11">
        <f>IF(F164="Labor",IF(C164="USD",H164*I164,(H164*I164)/Setup!$B$7),IF(C164="USD",J164,J164/Setup!$B$7))</f>
        <v/>
      </c>
      <c r="L164" s="11">
        <f>K164*Setup!$B$7</f>
        <v/>
      </c>
      <c r="M164" s="10" t="n"/>
      <c r="N164" s="10" t="inlineStr">
        <is>
          <t>S</t>
        </is>
      </c>
      <c r="O164" s="10" t="n"/>
      <c r="P164" s="10" t="n"/>
    </row>
    <row r="165">
      <c r="A165" s="10" t="n"/>
      <c r="B165" s="11">
        <f>IF(A165="","",TEXT(A165,"yyyy-mm"))</f>
        <v/>
      </c>
      <c r="C165" s="10" t="inlineStr">
        <is>
          <t>USD</t>
        </is>
      </c>
      <c r="D165" s="10" t="n"/>
      <c r="E165" s="11">
        <f>IFERROR(VLOOKUP(D165,Recursos!$A$3:$F$100,2,FALSE),"")</f>
        <v/>
      </c>
      <c r="F165" s="10" t="n"/>
      <c r="G165" s="10" t="n"/>
      <c r="H165" s="14" t="n">
        <v>0</v>
      </c>
      <c r="I165" s="11">
        <f>IF(F165="Labor",IF(C165="USD",IFERROR(VLOOKUP(D165,Recursos!$A$3:$F$100,4,FALSE),""),IFERROR(VLOOKUP(D165,Recursos!$A$3:$F$100,5,FALSE),"")),"")</f>
        <v/>
      </c>
      <c r="J165" s="10" t="n">
        <v>0</v>
      </c>
      <c r="K165" s="11">
        <f>IF(F165="Labor",IF(C165="USD",H165*I165,(H165*I165)/Setup!$B$7),IF(C165="USD",J165,J165/Setup!$B$7))</f>
        <v/>
      </c>
      <c r="L165" s="11">
        <f>K165*Setup!$B$7</f>
        <v/>
      </c>
      <c r="M165" s="10" t="n"/>
      <c r="N165" s="10" t="inlineStr">
        <is>
          <t>S</t>
        </is>
      </c>
      <c r="O165" s="10" t="n"/>
      <c r="P165" s="10" t="n"/>
    </row>
    <row r="166">
      <c r="A166" s="10" t="n"/>
      <c r="B166" s="11">
        <f>IF(A166="","",TEXT(A166,"yyyy-mm"))</f>
        <v/>
      </c>
      <c r="C166" s="10" t="inlineStr">
        <is>
          <t>USD</t>
        </is>
      </c>
      <c r="D166" s="10" t="n"/>
      <c r="E166" s="11">
        <f>IFERROR(VLOOKUP(D166,Recursos!$A$3:$F$100,2,FALSE),"")</f>
        <v/>
      </c>
      <c r="F166" s="10" t="n"/>
      <c r="G166" s="10" t="n"/>
      <c r="H166" s="14" t="n">
        <v>0</v>
      </c>
      <c r="I166" s="11">
        <f>IF(F166="Labor",IF(C166="USD",IFERROR(VLOOKUP(D166,Recursos!$A$3:$F$100,4,FALSE),""),IFERROR(VLOOKUP(D166,Recursos!$A$3:$F$100,5,FALSE),"")),"")</f>
        <v/>
      </c>
      <c r="J166" s="10" t="n">
        <v>0</v>
      </c>
      <c r="K166" s="11">
        <f>IF(F166="Labor",IF(C166="USD",H166*I166,(H166*I166)/Setup!$B$7),IF(C166="USD",J166,J166/Setup!$B$7))</f>
        <v/>
      </c>
      <c r="L166" s="11">
        <f>K166*Setup!$B$7</f>
        <v/>
      </c>
      <c r="M166" s="10" t="n"/>
      <c r="N166" s="10" t="inlineStr">
        <is>
          <t>S</t>
        </is>
      </c>
      <c r="O166" s="10" t="n"/>
      <c r="P166" s="10" t="n"/>
    </row>
    <row r="167">
      <c r="A167" s="10" t="n"/>
      <c r="B167" s="11">
        <f>IF(A167="","",TEXT(A167,"yyyy-mm"))</f>
        <v/>
      </c>
      <c r="C167" s="10" t="inlineStr">
        <is>
          <t>USD</t>
        </is>
      </c>
      <c r="D167" s="10" t="n"/>
      <c r="E167" s="11">
        <f>IFERROR(VLOOKUP(D167,Recursos!$A$3:$F$100,2,FALSE),"")</f>
        <v/>
      </c>
      <c r="F167" s="10" t="n"/>
      <c r="G167" s="10" t="n"/>
      <c r="H167" s="14" t="n">
        <v>0</v>
      </c>
      <c r="I167" s="11">
        <f>IF(F167="Labor",IF(C167="USD",IFERROR(VLOOKUP(D167,Recursos!$A$3:$F$100,4,FALSE),""),IFERROR(VLOOKUP(D167,Recursos!$A$3:$F$100,5,FALSE),"")),"")</f>
        <v/>
      </c>
      <c r="J167" s="10" t="n">
        <v>0</v>
      </c>
      <c r="K167" s="11">
        <f>IF(F167="Labor",IF(C167="USD",H167*I167,(H167*I167)/Setup!$B$7),IF(C167="USD",J167,J167/Setup!$B$7))</f>
        <v/>
      </c>
      <c r="L167" s="11">
        <f>K167*Setup!$B$7</f>
        <v/>
      </c>
      <c r="M167" s="10" t="n"/>
      <c r="N167" s="10" t="inlineStr">
        <is>
          <t>S</t>
        </is>
      </c>
      <c r="O167" s="10" t="n"/>
      <c r="P167" s="10" t="n"/>
    </row>
    <row r="168">
      <c r="A168" s="10" t="n"/>
      <c r="B168" s="11">
        <f>IF(A168="","",TEXT(A168,"yyyy-mm"))</f>
        <v/>
      </c>
      <c r="C168" s="10" t="inlineStr">
        <is>
          <t>USD</t>
        </is>
      </c>
      <c r="D168" s="10" t="n"/>
      <c r="E168" s="11">
        <f>IFERROR(VLOOKUP(D168,Recursos!$A$3:$F$100,2,FALSE),"")</f>
        <v/>
      </c>
      <c r="F168" s="10" t="n"/>
      <c r="G168" s="10" t="n"/>
      <c r="H168" s="14" t="n">
        <v>0</v>
      </c>
      <c r="I168" s="11">
        <f>IF(F168="Labor",IF(C168="USD",IFERROR(VLOOKUP(D168,Recursos!$A$3:$F$100,4,FALSE),""),IFERROR(VLOOKUP(D168,Recursos!$A$3:$F$100,5,FALSE),"")),"")</f>
        <v/>
      </c>
      <c r="J168" s="10" t="n">
        <v>0</v>
      </c>
      <c r="K168" s="11">
        <f>IF(F168="Labor",IF(C168="USD",H168*I168,(H168*I168)/Setup!$B$7),IF(C168="USD",J168,J168/Setup!$B$7))</f>
        <v/>
      </c>
      <c r="L168" s="11">
        <f>K168*Setup!$B$7</f>
        <v/>
      </c>
      <c r="M168" s="10" t="n"/>
      <c r="N168" s="10" t="inlineStr">
        <is>
          <t>S</t>
        </is>
      </c>
      <c r="O168" s="10" t="n"/>
      <c r="P168" s="10" t="n"/>
    </row>
    <row r="169">
      <c r="A169" s="10" t="n"/>
      <c r="B169" s="11">
        <f>IF(A169="","",TEXT(A169,"yyyy-mm"))</f>
        <v/>
      </c>
      <c r="C169" s="10" t="inlineStr">
        <is>
          <t>USD</t>
        </is>
      </c>
      <c r="D169" s="10" t="n"/>
      <c r="E169" s="11">
        <f>IFERROR(VLOOKUP(D169,Recursos!$A$3:$F$100,2,FALSE),"")</f>
        <v/>
      </c>
      <c r="F169" s="10" t="n"/>
      <c r="G169" s="10" t="n"/>
      <c r="H169" s="14" t="n">
        <v>0</v>
      </c>
      <c r="I169" s="11">
        <f>IF(F169="Labor",IF(C169="USD",IFERROR(VLOOKUP(D169,Recursos!$A$3:$F$100,4,FALSE),""),IFERROR(VLOOKUP(D169,Recursos!$A$3:$F$100,5,FALSE),"")),"")</f>
        <v/>
      </c>
      <c r="J169" s="10" t="n">
        <v>0</v>
      </c>
      <c r="K169" s="11">
        <f>IF(F169="Labor",IF(C169="USD",H169*I169,(H169*I169)/Setup!$B$7),IF(C169="USD",J169,J169/Setup!$B$7))</f>
        <v/>
      </c>
      <c r="L169" s="11">
        <f>K169*Setup!$B$7</f>
        <v/>
      </c>
      <c r="M169" s="10" t="n"/>
      <c r="N169" s="10" t="inlineStr">
        <is>
          <t>S</t>
        </is>
      </c>
      <c r="O169" s="10" t="n"/>
      <c r="P169" s="10" t="n"/>
    </row>
    <row r="170">
      <c r="A170" s="10" t="n"/>
      <c r="B170" s="11">
        <f>IF(A170="","",TEXT(A170,"yyyy-mm"))</f>
        <v/>
      </c>
      <c r="C170" s="10" t="inlineStr">
        <is>
          <t>USD</t>
        </is>
      </c>
      <c r="D170" s="10" t="n"/>
      <c r="E170" s="11">
        <f>IFERROR(VLOOKUP(D170,Recursos!$A$3:$F$100,2,FALSE),"")</f>
        <v/>
      </c>
      <c r="F170" s="10" t="n"/>
      <c r="G170" s="10" t="n"/>
      <c r="H170" s="14" t="n">
        <v>0</v>
      </c>
      <c r="I170" s="11">
        <f>IF(F170="Labor",IF(C170="USD",IFERROR(VLOOKUP(D170,Recursos!$A$3:$F$100,4,FALSE),""),IFERROR(VLOOKUP(D170,Recursos!$A$3:$F$100,5,FALSE),"")),"")</f>
        <v/>
      </c>
      <c r="J170" s="10" t="n">
        <v>0</v>
      </c>
      <c r="K170" s="11">
        <f>IF(F170="Labor",IF(C170="USD",H170*I170,(H170*I170)/Setup!$B$7),IF(C170="USD",J170,J170/Setup!$B$7))</f>
        <v/>
      </c>
      <c r="L170" s="11">
        <f>K170*Setup!$B$7</f>
        <v/>
      </c>
      <c r="M170" s="10" t="n"/>
      <c r="N170" s="10" t="inlineStr">
        <is>
          <t>S</t>
        </is>
      </c>
      <c r="O170" s="10" t="n"/>
      <c r="P170" s="10" t="n"/>
    </row>
    <row r="171">
      <c r="A171" s="10" t="n"/>
      <c r="B171" s="11">
        <f>IF(A171="","",TEXT(A171,"yyyy-mm"))</f>
        <v/>
      </c>
      <c r="C171" s="10" t="inlineStr">
        <is>
          <t>USD</t>
        </is>
      </c>
      <c r="D171" s="10" t="n"/>
      <c r="E171" s="11">
        <f>IFERROR(VLOOKUP(D171,Recursos!$A$3:$F$100,2,FALSE),"")</f>
        <v/>
      </c>
      <c r="F171" s="10" t="n"/>
      <c r="G171" s="10" t="n"/>
      <c r="H171" s="14" t="n">
        <v>0</v>
      </c>
      <c r="I171" s="11">
        <f>IF(F171="Labor",IF(C171="USD",IFERROR(VLOOKUP(D171,Recursos!$A$3:$F$100,4,FALSE),""),IFERROR(VLOOKUP(D171,Recursos!$A$3:$F$100,5,FALSE),"")),"")</f>
        <v/>
      </c>
      <c r="J171" s="10" t="n">
        <v>0</v>
      </c>
      <c r="K171" s="11">
        <f>IF(F171="Labor",IF(C171="USD",H171*I171,(H171*I171)/Setup!$B$7),IF(C171="USD",J171,J171/Setup!$B$7))</f>
        <v/>
      </c>
      <c r="L171" s="11">
        <f>K171*Setup!$B$7</f>
        <v/>
      </c>
      <c r="M171" s="10" t="n"/>
      <c r="N171" s="10" t="inlineStr">
        <is>
          <t>S</t>
        </is>
      </c>
      <c r="O171" s="10" t="n"/>
      <c r="P171" s="10" t="n"/>
    </row>
    <row r="172">
      <c r="A172" s="10" t="n"/>
      <c r="B172" s="11">
        <f>IF(A172="","",TEXT(A172,"yyyy-mm"))</f>
        <v/>
      </c>
      <c r="C172" s="10" t="inlineStr">
        <is>
          <t>USD</t>
        </is>
      </c>
      <c r="D172" s="10" t="n"/>
      <c r="E172" s="11">
        <f>IFERROR(VLOOKUP(D172,Recursos!$A$3:$F$100,2,FALSE),"")</f>
        <v/>
      </c>
      <c r="F172" s="10" t="n"/>
      <c r="G172" s="10" t="n"/>
      <c r="H172" s="14" t="n">
        <v>0</v>
      </c>
      <c r="I172" s="11">
        <f>IF(F172="Labor",IF(C172="USD",IFERROR(VLOOKUP(D172,Recursos!$A$3:$F$100,4,FALSE),""),IFERROR(VLOOKUP(D172,Recursos!$A$3:$F$100,5,FALSE),"")),"")</f>
        <v/>
      </c>
      <c r="J172" s="10" t="n">
        <v>0</v>
      </c>
      <c r="K172" s="11">
        <f>IF(F172="Labor",IF(C172="USD",H172*I172,(H172*I172)/Setup!$B$7),IF(C172="USD",J172,J172/Setup!$B$7))</f>
        <v/>
      </c>
      <c r="L172" s="11">
        <f>K172*Setup!$B$7</f>
        <v/>
      </c>
      <c r="M172" s="10" t="n"/>
      <c r="N172" s="10" t="inlineStr">
        <is>
          <t>S</t>
        </is>
      </c>
      <c r="O172" s="10" t="n"/>
      <c r="P172" s="10" t="n"/>
    </row>
    <row r="173">
      <c r="A173" s="10" t="n"/>
      <c r="B173" s="11">
        <f>IF(A173="","",TEXT(A173,"yyyy-mm"))</f>
        <v/>
      </c>
      <c r="C173" s="10" t="inlineStr">
        <is>
          <t>USD</t>
        </is>
      </c>
      <c r="D173" s="10" t="n"/>
      <c r="E173" s="11">
        <f>IFERROR(VLOOKUP(D173,Recursos!$A$3:$F$100,2,FALSE),"")</f>
        <v/>
      </c>
      <c r="F173" s="10" t="n"/>
      <c r="G173" s="10" t="n"/>
      <c r="H173" s="14" t="n">
        <v>0</v>
      </c>
      <c r="I173" s="11">
        <f>IF(F173="Labor",IF(C173="USD",IFERROR(VLOOKUP(D173,Recursos!$A$3:$F$100,4,FALSE),""),IFERROR(VLOOKUP(D173,Recursos!$A$3:$F$100,5,FALSE),"")),"")</f>
        <v/>
      </c>
      <c r="J173" s="10" t="n">
        <v>0</v>
      </c>
      <c r="K173" s="11">
        <f>IF(F173="Labor",IF(C173="USD",H173*I173,(H173*I173)/Setup!$B$7),IF(C173="USD",J173,J173/Setup!$B$7))</f>
        <v/>
      </c>
      <c r="L173" s="11">
        <f>K173*Setup!$B$7</f>
        <v/>
      </c>
      <c r="M173" s="10" t="n"/>
      <c r="N173" s="10" t="inlineStr">
        <is>
          <t>S</t>
        </is>
      </c>
      <c r="O173" s="10" t="n"/>
      <c r="P173" s="10" t="n"/>
    </row>
    <row r="174">
      <c r="A174" s="10" t="n"/>
      <c r="B174" s="11">
        <f>IF(A174="","",TEXT(A174,"yyyy-mm"))</f>
        <v/>
      </c>
      <c r="C174" s="10" t="inlineStr">
        <is>
          <t>USD</t>
        </is>
      </c>
      <c r="D174" s="10" t="n"/>
      <c r="E174" s="11">
        <f>IFERROR(VLOOKUP(D174,Recursos!$A$3:$F$100,2,FALSE),"")</f>
        <v/>
      </c>
      <c r="F174" s="10" t="n"/>
      <c r="G174" s="10" t="n"/>
      <c r="H174" s="14" t="n">
        <v>0</v>
      </c>
      <c r="I174" s="11">
        <f>IF(F174="Labor",IF(C174="USD",IFERROR(VLOOKUP(D174,Recursos!$A$3:$F$100,4,FALSE),""),IFERROR(VLOOKUP(D174,Recursos!$A$3:$F$100,5,FALSE),"")),"")</f>
        <v/>
      </c>
      <c r="J174" s="10" t="n">
        <v>0</v>
      </c>
      <c r="K174" s="11">
        <f>IF(F174="Labor",IF(C174="USD",H174*I174,(H174*I174)/Setup!$B$7),IF(C174="USD",J174,J174/Setup!$B$7))</f>
        <v/>
      </c>
      <c r="L174" s="11">
        <f>K174*Setup!$B$7</f>
        <v/>
      </c>
      <c r="M174" s="10" t="n"/>
      <c r="N174" s="10" t="inlineStr">
        <is>
          <t>S</t>
        </is>
      </c>
      <c r="O174" s="10" t="n"/>
      <c r="P174" s="10" t="n"/>
    </row>
    <row r="175">
      <c r="A175" s="10" t="n"/>
      <c r="B175" s="11">
        <f>IF(A175="","",TEXT(A175,"yyyy-mm"))</f>
        <v/>
      </c>
      <c r="C175" s="10" t="inlineStr">
        <is>
          <t>USD</t>
        </is>
      </c>
      <c r="D175" s="10" t="n"/>
      <c r="E175" s="11">
        <f>IFERROR(VLOOKUP(D175,Recursos!$A$3:$F$100,2,FALSE),"")</f>
        <v/>
      </c>
      <c r="F175" s="10" t="n"/>
      <c r="G175" s="10" t="n"/>
      <c r="H175" s="14" t="n">
        <v>0</v>
      </c>
      <c r="I175" s="11">
        <f>IF(F175="Labor",IF(C175="USD",IFERROR(VLOOKUP(D175,Recursos!$A$3:$F$100,4,FALSE),""),IFERROR(VLOOKUP(D175,Recursos!$A$3:$F$100,5,FALSE),"")),"")</f>
        <v/>
      </c>
      <c r="J175" s="10" t="n">
        <v>0</v>
      </c>
      <c r="K175" s="11">
        <f>IF(F175="Labor",IF(C175="USD",H175*I175,(H175*I175)/Setup!$B$7),IF(C175="USD",J175,J175/Setup!$B$7))</f>
        <v/>
      </c>
      <c r="L175" s="11">
        <f>K175*Setup!$B$7</f>
        <v/>
      </c>
      <c r="M175" s="10" t="n"/>
      <c r="N175" s="10" t="inlineStr">
        <is>
          <t>S</t>
        </is>
      </c>
      <c r="O175" s="10" t="n"/>
      <c r="P175" s="10" t="n"/>
    </row>
    <row r="176">
      <c r="A176" s="10" t="n"/>
      <c r="B176" s="11">
        <f>IF(A176="","",TEXT(A176,"yyyy-mm"))</f>
        <v/>
      </c>
      <c r="C176" s="10" t="inlineStr">
        <is>
          <t>USD</t>
        </is>
      </c>
      <c r="D176" s="10" t="n"/>
      <c r="E176" s="11">
        <f>IFERROR(VLOOKUP(D176,Recursos!$A$3:$F$100,2,FALSE),"")</f>
        <v/>
      </c>
      <c r="F176" s="10" t="n"/>
      <c r="G176" s="10" t="n"/>
      <c r="H176" s="14" t="n">
        <v>0</v>
      </c>
      <c r="I176" s="11">
        <f>IF(F176="Labor",IF(C176="USD",IFERROR(VLOOKUP(D176,Recursos!$A$3:$F$100,4,FALSE),""),IFERROR(VLOOKUP(D176,Recursos!$A$3:$F$100,5,FALSE),"")),"")</f>
        <v/>
      </c>
      <c r="J176" s="10" t="n">
        <v>0</v>
      </c>
      <c r="K176" s="11">
        <f>IF(F176="Labor",IF(C176="USD",H176*I176,(H176*I176)/Setup!$B$7),IF(C176="USD",J176,J176/Setup!$B$7))</f>
        <v/>
      </c>
      <c r="L176" s="11">
        <f>K176*Setup!$B$7</f>
        <v/>
      </c>
      <c r="M176" s="10" t="n"/>
      <c r="N176" s="10" t="inlineStr">
        <is>
          <t>S</t>
        </is>
      </c>
      <c r="O176" s="10" t="n"/>
      <c r="P176" s="10" t="n"/>
    </row>
    <row r="177">
      <c r="A177" s="10" t="n"/>
      <c r="B177" s="11">
        <f>IF(A177="","",TEXT(A177,"yyyy-mm"))</f>
        <v/>
      </c>
      <c r="C177" s="10" t="inlineStr">
        <is>
          <t>USD</t>
        </is>
      </c>
      <c r="D177" s="10" t="n"/>
      <c r="E177" s="11">
        <f>IFERROR(VLOOKUP(D177,Recursos!$A$3:$F$100,2,FALSE),"")</f>
        <v/>
      </c>
      <c r="F177" s="10" t="n"/>
      <c r="G177" s="10" t="n"/>
      <c r="H177" s="14" t="n">
        <v>0</v>
      </c>
      <c r="I177" s="11">
        <f>IF(F177="Labor",IF(C177="USD",IFERROR(VLOOKUP(D177,Recursos!$A$3:$F$100,4,FALSE),""),IFERROR(VLOOKUP(D177,Recursos!$A$3:$F$100,5,FALSE),"")),"")</f>
        <v/>
      </c>
      <c r="J177" s="10" t="n">
        <v>0</v>
      </c>
      <c r="K177" s="11">
        <f>IF(F177="Labor",IF(C177="USD",H177*I177,(H177*I177)/Setup!$B$7),IF(C177="USD",J177,J177/Setup!$B$7))</f>
        <v/>
      </c>
      <c r="L177" s="11">
        <f>K177*Setup!$B$7</f>
        <v/>
      </c>
      <c r="M177" s="10" t="n"/>
      <c r="N177" s="10" t="inlineStr">
        <is>
          <t>S</t>
        </is>
      </c>
      <c r="O177" s="10" t="n"/>
      <c r="P177" s="10" t="n"/>
    </row>
    <row r="178">
      <c r="A178" s="10" t="n"/>
      <c r="B178" s="11">
        <f>IF(A178="","",TEXT(A178,"yyyy-mm"))</f>
        <v/>
      </c>
      <c r="C178" s="10" t="inlineStr">
        <is>
          <t>USD</t>
        </is>
      </c>
      <c r="D178" s="10" t="n"/>
      <c r="E178" s="11">
        <f>IFERROR(VLOOKUP(D178,Recursos!$A$3:$F$100,2,FALSE),"")</f>
        <v/>
      </c>
      <c r="F178" s="10" t="n"/>
      <c r="G178" s="10" t="n"/>
      <c r="H178" s="14" t="n">
        <v>0</v>
      </c>
      <c r="I178" s="11">
        <f>IF(F178="Labor",IF(C178="USD",IFERROR(VLOOKUP(D178,Recursos!$A$3:$F$100,4,FALSE),""),IFERROR(VLOOKUP(D178,Recursos!$A$3:$F$100,5,FALSE),"")),"")</f>
        <v/>
      </c>
      <c r="J178" s="10" t="n">
        <v>0</v>
      </c>
      <c r="K178" s="11">
        <f>IF(F178="Labor",IF(C178="USD",H178*I178,(H178*I178)/Setup!$B$7),IF(C178="USD",J178,J178/Setup!$B$7))</f>
        <v/>
      </c>
      <c r="L178" s="11">
        <f>K178*Setup!$B$7</f>
        <v/>
      </c>
      <c r="M178" s="10" t="n"/>
      <c r="N178" s="10" t="inlineStr">
        <is>
          <t>S</t>
        </is>
      </c>
      <c r="O178" s="10" t="n"/>
      <c r="P178" s="10" t="n"/>
    </row>
    <row r="179">
      <c r="A179" s="10" t="n"/>
      <c r="B179" s="11">
        <f>IF(A179="","",TEXT(A179,"yyyy-mm"))</f>
        <v/>
      </c>
      <c r="C179" s="10" t="inlineStr">
        <is>
          <t>USD</t>
        </is>
      </c>
      <c r="D179" s="10" t="n"/>
      <c r="E179" s="11">
        <f>IFERROR(VLOOKUP(D179,Recursos!$A$3:$F$100,2,FALSE),"")</f>
        <v/>
      </c>
      <c r="F179" s="10" t="n"/>
      <c r="G179" s="10" t="n"/>
      <c r="H179" s="14" t="n">
        <v>0</v>
      </c>
      <c r="I179" s="11">
        <f>IF(F179="Labor",IF(C179="USD",IFERROR(VLOOKUP(D179,Recursos!$A$3:$F$100,4,FALSE),""),IFERROR(VLOOKUP(D179,Recursos!$A$3:$F$100,5,FALSE),"")),"")</f>
        <v/>
      </c>
      <c r="J179" s="10" t="n">
        <v>0</v>
      </c>
      <c r="K179" s="11">
        <f>IF(F179="Labor",IF(C179="USD",H179*I179,(H179*I179)/Setup!$B$7),IF(C179="USD",J179,J179/Setup!$B$7))</f>
        <v/>
      </c>
      <c r="L179" s="11">
        <f>K179*Setup!$B$7</f>
        <v/>
      </c>
      <c r="M179" s="10" t="n"/>
      <c r="N179" s="10" t="inlineStr">
        <is>
          <t>S</t>
        </is>
      </c>
      <c r="O179" s="10" t="n"/>
      <c r="P179" s="10" t="n"/>
    </row>
    <row r="180">
      <c r="A180" s="10" t="n"/>
      <c r="B180" s="11">
        <f>IF(A180="","",TEXT(A180,"yyyy-mm"))</f>
        <v/>
      </c>
      <c r="C180" s="10" t="inlineStr">
        <is>
          <t>USD</t>
        </is>
      </c>
      <c r="D180" s="10" t="n"/>
      <c r="E180" s="11">
        <f>IFERROR(VLOOKUP(D180,Recursos!$A$3:$F$100,2,FALSE),"")</f>
        <v/>
      </c>
      <c r="F180" s="10" t="n"/>
      <c r="G180" s="10" t="n"/>
      <c r="H180" s="14" t="n">
        <v>0</v>
      </c>
      <c r="I180" s="11">
        <f>IF(F180="Labor",IF(C180="USD",IFERROR(VLOOKUP(D180,Recursos!$A$3:$F$100,4,FALSE),""),IFERROR(VLOOKUP(D180,Recursos!$A$3:$F$100,5,FALSE),"")),"")</f>
        <v/>
      </c>
      <c r="J180" s="10" t="n">
        <v>0</v>
      </c>
      <c r="K180" s="11">
        <f>IF(F180="Labor",IF(C180="USD",H180*I180,(H180*I180)/Setup!$B$7),IF(C180="USD",J180,J180/Setup!$B$7))</f>
        <v/>
      </c>
      <c r="L180" s="11">
        <f>K180*Setup!$B$7</f>
        <v/>
      </c>
      <c r="M180" s="10" t="n"/>
      <c r="N180" s="10" t="inlineStr">
        <is>
          <t>S</t>
        </is>
      </c>
      <c r="O180" s="10" t="n"/>
      <c r="P180" s="10" t="n"/>
    </row>
    <row r="181">
      <c r="A181" s="10" t="n"/>
      <c r="B181" s="11">
        <f>IF(A181="","",TEXT(A181,"yyyy-mm"))</f>
        <v/>
      </c>
      <c r="C181" s="10" t="inlineStr">
        <is>
          <t>USD</t>
        </is>
      </c>
      <c r="D181" s="10" t="n"/>
      <c r="E181" s="11">
        <f>IFERROR(VLOOKUP(D181,Recursos!$A$3:$F$100,2,FALSE),"")</f>
        <v/>
      </c>
      <c r="F181" s="10" t="n"/>
      <c r="G181" s="10" t="n"/>
      <c r="H181" s="14" t="n">
        <v>0</v>
      </c>
      <c r="I181" s="11">
        <f>IF(F181="Labor",IF(C181="USD",IFERROR(VLOOKUP(D181,Recursos!$A$3:$F$100,4,FALSE),""),IFERROR(VLOOKUP(D181,Recursos!$A$3:$F$100,5,FALSE),"")),"")</f>
        <v/>
      </c>
      <c r="J181" s="10" t="n">
        <v>0</v>
      </c>
      <c r="K181" s="11">
        <f>IF(F181="Labor",IF(C181="USD",H181*I181,(H181*I181)/Setup!$B$7),IF(C181="USD",J181,J181/Setup!$B$7))</f>
        <v/>
      </c>
      <c r="L181" s="11">
        <f>K181*Setup!$B$7</f>
        <v/>
      </c>
      <c r="M181" s="10" t="n"/>
      <c r="N181" s="10" t="inlineStr">
        <is>
          <t>S</t>
        </is>
      </c>
      <c r="O181" s="10" t="n"/>
      <c r="P181" s="10" t="n"/>
    </row>
    <row r="182">
      <c r="A182" s="10" t="n"/>
      <c r="B182" s="11">
        <f>IF(A182="","",TEXT(A182,"yyyy-mm"))</f>
        <v/>
      </c>
      <c r="C182" s="10" t="inlineStr">
        <is>
          <t>USD</t>
        </is>
      </c>
      <c r="D182" s="10" t="n"/>
      <c r="E182" s="11">
        <f>IFERROR(VLOOKUP(D182,Recursos!$A$3:$F$100,2,FALSE),"")</f>
        <v/>
      </c>
      <c r="F182" s="10" t="n"/>
      <c r="G182" s="10" t="n"/>
      <c r="H182" s="14" t="n">
        <v>0</v>
      </c>
      <c r="I182" s="11">
        <f>IF(F182="Labor",IF(C182="USD",IFERROR(VLOOKUP(D182,Recursos!$A$3:$F$100,4,FALSE),""),IFERROR(VLOOKUP(D182,Recursos!$A$3:$F$100,5,FALSE),"")),"")</f>
        <v/>
      </c>
      <c r="J182" s="10" t="n">
        <v>0</v>
      </c>
      <c r="K182" s="11">
        <f>IF(F182="Labor",IF(C182="USD",H182*I182,(H182*I182)/Setup!$B$7),IF(C182="USD",J182,J182/Setup!$B$7))</f>
        <v/>
      </c>
      <c r="L182" s="11">
        <f>K182*Setup!$B$7</f>
        <v/>
      </c>
      <c r="M182" s="10" t="n"/>
      <c r="N182" s="10" t="inlineStr">
        <is>
          <t>S</t>
        </is>
      </c>
      <c r="O182" s="10" t="n"/>
      <c r="P182" s="10" t="n"/>
    </row>
    <row r="183">
      <c r="A183" s="10" t="n"/>
      <c r="B183" s="11">
        <f>IF(A183="","",TEXT(A183,"yyyy-mm"))</f>
        <v/>
      </c>
      <c r="C183" s="10" t="inlineStr">
        <is>
          <t>USD</t>
        </is>
      </c>
      <c r="D183" s="10" t="n"/>
      <c r="E183" s="11">
        <f>IFERROR(VLOOKUP(D183,Recursos!$A$3:$F$100,2,FALSE),"")</f>
        <v/>
      </c>
      <c r="F183" s="10" t="n"/>
      <c r="G183" s="10" t="n"/>
      <c r="H183" s="14" t="n">
        <v>0</v>
      </c>
      <c r="I183" s="11">
        <f>IF(F183="Labor",IF(C183="USD",IFERROR(VLOOKUP(D183,Recursos!$A$3:$F$100,4,FALSE),""),IFERROR(VLOOKUP(D183,Recursos!$A$3:$F$100,5,FALSE),"")),"")</f>
        <v/>
      </c>
      <c r="J183" s="10" t="n">
        <v>0</v>
      </c>
      <c r="K183" s="11">
        <f>IF(F183="Labor",IF(C183="USD",H183*I183,(H183*I183)/Setup!$B$7),IF(C183="USD",J183,J183/Setup!$B$7))</f>
        <v/>
      </c>
      <c r="L183" s="11">
        <f>K183*Setup!$B$7</f>
        <v/>
      </c>
      <c r="M183" s="10" t="n"/>
      <c r="N183" s="10" t="inlineStr">
        <is>
          <t>S</t>
        </is>
      </c>
      <c r="O183" s="10" t="n"/>
      <c r="P183" s="10" t="n"/>
    </row>
    <row r="184">
      <c r="A184" s="10" t="n"/>
      <c r="B184" s="11">
        <f>IF(A184="","",TEXT(A184,"yyyy-mm"))</f>
        <v/>
      </c>
      <c r="C184" s="10" t="inlineStr">
        <is>
          <t>USD</t>
        </is>
      </c>
      <c r="D184" s="10" t="n"/>
      <c r="E184" s="11">
        <f>IFERROR(VLOOKUP(D184,Recursos!$A$3:$F$100,2,FALSE),"")</f>
        <v/>
      </c>
      <c r="F184" s="10" t="n"/>
      <c r="G184" s="10" t="n"/>
      <c r="H184" s="14" t="n">
        <v>0</v>
      </c>
      <c r="I184" s="11">
        <f>IF(F184="Labor",IF(C184="USD",IFERROR(VLOOKUP(D184,Recursos!$A$3:$F$100,4,FALSE),""),IFERROR(VLOOKUP(D184,Recursos!$A$3:$F$100,5,FALSE),"")),"")</f>
        <v/>
      </c>
      <c r="J184" s="10" t="n">
        <v>0</v>
      </c>
      <c r="K184" s="11">
        <f>IF(F184="Labor",IF(C184="USD",H184*I184,(H184*I184)/Setup!$B$7),IF(C184="USD",J184,J184/Setup!$B$7))</f>
        <v/>
      </c>
      <c r="L184" s="11">
        <f>K184*Setup!$B$7</f>
        <v/>
      </c>
      <c r="M184" s="10" t="n"/>
      <c r="N184" s="10" t="inlineStr">
        <is>
          <t>S</t>
        </is>
      </c>
      <c r="O184" s="10" t="n"/>
      <c r="P184" s="10" t="n"/>
    </row>
    <row r="185">
      <c r="A185" s="10" t="n"/>
      <c r="B185" s="11">
        <f>IF(A185="","",TEXT(A185,"yyyy-mm"))</f>
        <v/>
      </c>
      <c r="C185" s="10" t="inlineStr">
        <is>
          <t>USD</t>
        </is>
      </c>
      <c r="D185" s="10" t="n"/>
      <c r="E185" s="11">
        <f>IFERROR(VLOOKUP(D185,Recursos!$A$3:$F$100,2,FALSE),"")</f>
        <v/>
      </c>
      <c r="F185" s="10" t="n"/>
      <c r="G185" s="10" t="n"/>
      <c r="H185" s="14" t="n">
        <v>0</v>
      </c>
      <c r="I185" s="11">
        <f>IF(F185="Labor",IF(C185="USD",IFERROR(VLOOKUP(D185,Recursos!$A$3:$F$100,4,FALSE),""),IFERROR(VLOOKUP(D185,Recursos!$A$3:$F$100,5,FALSE),"")),"")</f>
        <v/>
      </c>
      <c r="J185" s="10" t="n">
        <v>0</v>
      </c>
      <c r="K185" s="11">
        <f>IF(F185="Labor",IF(C185="USD",H185*I185,(H185*I185)/Setup!$B$7),IF(C185="USD",J185,J185/Setup!$B$7))</f>
        <v/>
      </c>
      <c r="L185" s="11">
        <f>K185*Setup!$B$7</f>
        <v/>
      </c>
      <c r="M185" s="10" t="n"/>
      <c r="N185" s="10" t="inlineStr">
        <is>
          <t>S</t>
        </is>
      </c>
      <c r="O185" s="10" t="n"/>
      <c r="P185" s="10" t="n"/>
    </row>
    <row r="186">
      <c r="A186" s="10" t="n"/>
      <c r="B186" s="11">
        <f>IF(A186="","",TEXT(A186,"yyyy-mm"))</f>
        <v/>
      </c>
      <c r="C186" s="10" t="inlineStr">
        <is>
          <t>USD</t>
        </is>
      </c>
      <c r="D186" s="10" t="n"/>
      <c r="E186" s="11">
        <f>IFERROR(VLOOKUP(D186,Recursos!$A$3:$F$100,2,FALSE),"")</f>
        <v/>
      </c>
      <c r="F186" s="10" t="n"/>
      <c r="G186" s="10" t="n"/>
      <c r="H186" s="14" t="n">
        <v>0</v>
      </c>
      <c r="I186" s="11">
        <f>IF(F186="Labor",IF(C186="USD",IFERROR(VLOOKUP(D186,Recursos!$A$3:$F$100,4,FALSE),""),IFERROR(VLOOKUP(D186,Recursos!$A$3:$F$100,5,FALSE),"")),"")</f>
        <v/>
      </c>
      <c r="J186" s="10" t="n">
        <v>0</v>
      </c>
      <c r="K186" s="11">
        <f>IF(F186="Labor",IF(C186="USD",H186*I186,(H186*I186)/Setup!$B$7),IF(C186="USD",J186,J186/Setup!$B$7))</f>
        <v/>
      </c>
      <c r="L186" s="11">
        <f>K186*Setup!$B$7</f>
        <v/>
      </c>
      <c r="M186" s="10" t="n"/>
      <c r="N186" s="10" t="inlineStr">
        <is>
          <t>S</t>
        </is>
      </c>
      <c r="O186" s="10" t="n"/>
      <c r="P186" s="10" t="n"/>
    </row>
    <row r="187">
      <c r="A187" s="10" t="n"/>
      <c r="B187" s="11">
        <f>IF(A187="","",TEXT(A187,"yyyy-mm"))</f>
        <v/>
      </c>
      <c r="C187" s="10" t="inlineStr">
        <is>
          <t>USD</t>
        </is>
      </c>
      <c r="D187" s="10" t="n"/>
      <c r="E187" s="11">
        <f>IFERROR(VLOOKUP(D187,Recursos!$A$3:$F$100,2,FALSE),"")</f>
        <v/>
      </c>
      <c r="F187" s="10" t="n"/>
      <c r="G187" s="10" t="n"/>
      <c r="H187" s="14" t="n">
        <v>0</v>
      </c>
      <c r="I187" s="11">
        <f>IF(F187="Labor",IF(C187="USD",IFERROR(VLOOKUP(D187,Recursos!$A$3:$F$100,4,FALSE),""),IFERROR(VLOOKUP(D187,Recursos!$A$3:$F$100,5,FALSE),"")),"")</f>
        <v/>
      </c>
      <c r="J187" s="10" t="n">
        <v>0</v>
      </c>
      <c r="K187" s="11">
        <f>IF(F187="Labor",IF(C187="USD",H187*I187,(H187*I187)/Setup!$B$7),IF(C187="USD",J187,J187/Setup!$B$7))</f>
        <v/>
      </c>
      <c r="L187" s="11">
        <f>K187*Setup!$B$7</f>
        <v/>
      </c>
      <c r="M187" s="10" t="n"/>
      <c r="N187" s="10" t="inlineStr">
        <is>
          <t>S</t>
        </is>
      </c>
      <c r="O187" s="10" t="n"/>
      <c r="P187" s="10" t="n"/>
    </row>
    <row r="188">
      <c r="A188" s="10" t="n"/>
      <c r="B188" s="11">
        <f>IF(A188="","",TEXT(A188,"yyyy-mm"))</f>
        <v/>
      </c>
      <c r="C188" s="10" t="inlineStr">
        <is>
          <t>USD</t>
        </is>
      </c>
      <c r="D188" s="10" t="n"/>
      <c r="E188" s="11">
        <f>IFERROR(VLOOKUP(D188,Recursos!$A$3:$F$100,2,FALSE),"")</f>
        <v/>
      </c>
      <c r="F188" s="10" t="n"/>
      <c r="G188" s="10" t="n"/>
      <c r="H188" s="14" t="n">
        <v>0</v>
      </c>
      <c r="I188" s="11">
        <f>IF(F188="Labor",IF(C188="USD",IFERROR(VLOOKUP(D188,Recursos!$A$3:$F$100,4,FALSE),""),IFERROR(VLOOKUP(D188,Recursos!$A$3:$F$100,5,FALSE),"")),"")</f>
        <v/>
      </c>
      <c r="J188" s="10" t="n">
        <v>0</v>
      </c>
      <c r="K188" s="11">
        <f>IF(F188="Labor",IF(C188="USD",H188*I188,(H188*I188)/Setup!$B$7),IF(C188="USD",J188,J188/Setup!$B$7))</f>
        <v/>
      </c>
      <c r="L188" s="11">
        <f>K188*Setup!$B$7</f>
        <v/>
      </c>
      <c r="M188" s="10" t="n"/>
      <c r="N188" s="10" t="inlineStr">
        <is>
          <t>S</t>
        </is>
      </c>
      <c r="O188" s="10" t="n"/>
      <c r="P188" s="10" t="n"/>
    </row>
    <row r="189">
      <c r="A189" s="10" t="n"/>
      <c r="B189" s="11">
        <f>IF(A189="","",TEXT(A189,"yyyy-mm"))</f>
        <v/>
      </c>
      <c r="C189" s="10" t="inlineStr">
        <is>
          <t>USD</t>
        </is>
      </c>
      <c r="D189" s="10" t="n"/>
      <c r="E189" s="11">
        <f>IFERROR(VLOOKUP(D189,Recursos!$A$3:$F$100,2,FALSE),"")</f>
        <v/>
      </c>
      <c r="F189" s="10" t="n"/>
      <c r="G189" s="10" t="n"/>
      <c r="H189" s="14" t="n">
        <v>0</v>
      </c>
      <c r="I189" s="11">
        <f>IF(F189="Labor",IF(C189="USD",IFERROR(VLOOKUP(D189,Recursos!$A$3:$F$100,4,FALSE),""),IFERROR(VLOOKUP(D189,Recursos!$A$3:$F$100,5,FALSE),"")),"")</f>
        <v/>
      </c>
      <c r="J189" s="10" t="n">
        <v>0</v>
      </c>
      <c r="K189" s="11">
        <f>IF(F189="Labor",IF(C189="USD",H189*I189,(H189*I189)/Setup!$B$7),IF(C189="USD",J189,J189/Setup!$B$7))</f>
        <v/>
      </c>
      <c r="L189" s="11">
        <f>K189*Setup!$B$7</f>
        <v/>
      </c>
      <c r="M189" s="10" t="n"/>
      <c r="N189" s="10" t="inlineStr">
        <is>
          <t>S</t>
        </is>
      </c>
      <c r="O189" s="10" t="n"/>
      <c r="P189" s="10" t="n"/>
    </row>
    <row r="190">
      <c r="A190" s="10" t="n"/>
      <c r="B190" s="11">
        <f>IF(A190="","",TEXT(A190,"yyyy-mm"))</f>
        <v/>
      </c>
      <c r="C190" s="10" t="inlineStr">
        <is>
          <t>USD</t>
        </is>
      </c>
      <c r="D190" s="10" t="n"/>
      <c r="E190" s="11">
        <f>IFERROR(VLOOKUP(D190,Recursos!$A$3:$F$100,2,FALSE),"")</f>
        <v/>
      </c>
      <c r="F190" s="10" t="n"/>
      <c r="G190" s="10" t="n"/>
      <c r="H190" s="14" t="n">
        <v>0</v>
      </c>
      <c r="I190" s="11">
        <f>IF(F190="Labor",IF(C190="USD",IFERROR(VLOOKUP(D190,Recursos!$A$3:$F$100,4,FALSE),""),IFERROR(VLOOKUP(D190,Recursos!$A$3:$F$100,5,FALSE),"")),"")</f>
        <v/>
      </c>
      <c r="J190" s="10" t="n">
        <v>0</v>
      </c>
      <c r="K190" s="11">
        <f>IF(F190="Labor",IF(C190="USD",H190*I190,(H190*I190)/Setup!$B$7),IF(C190="USD",J190,J190/Setup!$B$7))</f>
        <v/>
      </c>
      <c r="L190" s="11">
        <f>K190*Setup!$B$7</f>
        <v/>
      </c>
      <c r="M190" s="10" t="n"/>
      <c r="N190" s="10" t="inlineStr">
        <is>
          <t>S</t>
        </is>
      </c>
      <c r="O190" s="10" t="n"/>
      <c r="P190" s="10" t="n"/>
    </row>
    <row r="191">
      <c r="A191" s="10" t="n"/>
      <c r="B191" s="11">
        <f>IF(A191="","",TEXT(A191,"yyyy-mm"))</f>
        <v/>
      </c>
      <c r="C191" s="10" t="inlineStr">
        <is>
          <t>USD</t>
        </is>
      </c>
      <c r="D191" s="10" t="n"/>
      <c r="E191" s="11">
        <f>IFERROR(VLOOKUP(D191,Recursos!$A$3:$F$100,2,FALSE),"")</f>
        <v/>
      </c>
      <c r="F191" s="10" t="n"/>
      <c r="G191" s="10" t="n"/>
      <c r="H191" s="14" t="n">
        <v>0</v>
      </c>
      <c r="I191" s="11">
        <f>IF(F191="Labor",IF(C191="USD",IFERROR(VLOOKUP(D191,Recursos!$A$3:$F$100,4,FALSE),""),IFERROR(VLOOKUP(D191,Recursos!$A$3:$F$100,5,FALSE),"")),"")</f>
        <v/>
      </c>
      <c r="J191" s="10" t="n">
        <v>0</v>
      </c>
      <c r="K191" s="11">
        <f>IF(F191="Labor",IF(C191="USD",H191*I191,(H191*I191)/Setup!$B$7),IF(C191="USD",J191,J191/Setup!$B$7))</f>
        <v/>
      </c>
      <c r="L191" s="11">
        <f>K191*Setup!$B$7</f>
        <v/>
      </c>
      <c r="M191" s="10" t="n"/>
      <c r="N191" s="10" t="inlineStr">
        <is>
          <t>S</t>
        </is>
      </c>
      <c r="O191" s="10" t="n"/>
      <c r="P191" s="10" t="n"/>
    </row>
    <row r="192">
      <c r="A192" s="10" t="n"/>
      <c r="B192" s="11">
        <f>IF(A192="","",TEXT(A192,"yyyy-mm"))</f>
        <v/>
      </c>
      <c r="C192" s="10" t="inlineStr">
        <is>
          <t>USD</t>
        </is>
      </c>
      <c r="D192" s="10" t="n"/>
      <c r="E192" s="11">
        <f>IFERROR(VLOOKUP(D192,Recursos!$A$3:$F$100,2,FALSE),"")</f>
        <v/>
      </c>
      <c r="F192" s="10" t="n"/>
      <c r="G192" s="10" t="n"/>
      <c r="H192" s="14" t="n">
        <v>0</v>
      </c>
      <c r="I192" s="11">
        <f>IF(F192="Labor",IF(C192="USD",IFERROR(VLOOKUP(D192,Recursos!$A$3:$F$100,4,FALSE),""),IFERROR(VLOOKUP(D192,Recursos!$A$3:$F$100,5,FALSE),"")),"")</f>
        <v/>
      </c>
      <c r="J192" s="10" t="n">
        <v>0</v>
      </c>
      <c r="K192" s="11">
        <f>IF(F192="Labor",IF(C192="USD",H192*I192,(H192*I192)/Setup!$B$7),IF(C192="USD",J192,J192/Setup!$B$7))</f>
        <v/>
      </c>
      <c r="L192" s="11">
        <f>K192*Setup!$B$7</f>
        <v/>
      </c>
      <c r="M192" s="10" t="n"/>
      <c r="N192" s="10" t="inlineStr">
        <is>
          <t>S</t>
        </is>
      </c>
      <c r="O192" s="10" t="n"/>
      <c r="P192" s="10" t="n"/>
    </row>
    <row r="193">
      <c r="A193" s="10" t="n"/>
      <c r="B193" s="11">
        <f>IF(A193="","",TEXT(A193,"yyyy-mm"))</f>
        <v/>
      </c>
      <c r="C193" s="10" t="inlineStr">
        <is>
          <t>USD</t>
        </is>
      </c>
      <c r="D193" s="10" t="n"/>
      <c r="E193" s="11">
        <f>IFERROR(VLOOKUP(D193,Recursos!$A$3:$F$100,2,FALSE),"")</f>
        <v/>
      </c>
      <c r="F193" s="10" t="n"/>
      <c r="G193" s="10" t="n"/>
      <c r="H193" s="14" t="n">
        <v>0</v>
      </c>
      <c r="I193" s="11">
        <f>IF(F193="Labor",IF(C193="USD",IFERROR(VLOOKUP(D193,Recursos!$A$3:$F$100,4,FALSE),""),IFERROR(VLOOKUP(D193,Recursos!$A$3:$F$100,5,FALSE),"")),"")</f>
        <v/>
      </c>
      <c r="J193" s="10" t="n">
        <v>0</v>
      </c>
      <c r="K193" s="11">
        <f>IF(F193="Labor",IF(C193="USD",H193*I193,(H193*I193)/Setup!$B$7),IF(C193="USD",J193,J193/Setup!$B$7))</f>
        <v/>
      </c>
      <c r="L193" s="11">
        <f>K193*Setup!$B$7</f>
        <v/>
      </c>
      <c r="M193" s="10" t="n"/>
      <c r="N193" s="10" t="inlineStr">
        <is>
          <t>S</t>
        </is>
      </c>
      <c r="O193" s="10" t="n"/>
      <c r="P193" s="10" t="n"/>
    </row>
    <row r="194">
      <c r="A194" s="10" t="n"/>
      <c r="B194" s="11">
        <f>IF(A194="","",TEXT(A194,"yyyy-mm"))</f>
        <v/>
      </c>
      <c r="C194" s="10" t="inlineStr">
        <is>
          <t>USD</t>
        </is>
      </c>
      <c r="D194" s="10" t="n"/>
      <c r="E194" s="11">
        <f>IFERROR(VLOOKUP(D194,Recursos!$A$3:$F$100,2,FALSE),"")</f>
        <v/>
      </c>
      <c r="F194" s="10" t="n"/>
      <c r="G194" s="10" t="n"/>
      <c r="H194" s="14" t="n">
        <v>0</v>
      </c>
      <c r="I194" s="11">
        <f>IF(F194="Labor",IF(C194="USD",IFERROR(VLOOKUP(D194,Recursos!$A$3:$F$100,4,FALSE),""),IFERROR(VLOOKUP(D194,Recursos!$A$3:$F$100,5,FALSE),"")),"")</f>
        <v/>
      </c>
      <c r="J194" s="10" t="n">
        <v>0</v>
      </c>
      <c r="K194" s="11">
        <f>IF(F194="Labor",IF(C194="USD",H194*I194,(H194*I194)/Setup!$B$7),IF(C194="USD",J194,J194/Setup!$B$7))</f>
        <v/>
      </c>
      <c r="L194" s="11">
        <f>K194*Setup!$B$7</f>
        <v/>
      </c>
      <c r="M194" s="10" t="n"/>
      <c r="N194" s="10" t="inlineStr">
        <is>
          <t>S</t>
        </is>
      </c>
      <c r="O194" s="10" t="n"/>
      <c r="P194" s="10" t="n"/>
    </row>
    <row r="195">
      <c r="A195" s="10" t="n"/>
      <c r="B195" s="11">
        <f>IF(A195="","",TEXT(A195,"yyyy-mm"))</f>
        <v/>
      </c>
      <c r="C195" s="10" t="inlineStr">
        <is>
          <t>USD</t>
        </is>
      </c>
      <c r="D195" s="10" t="n"/>
      <c r="E195" s="11">
        <f>IFERROR(VLOOKUP(D195,Recursos!$A$3:$F$100,2,FALSE),"")</f>
        <v/>
      </c>
      <c r="F195" s="10" t="n"/>
      <c r="G195" s="10" t="n"/>
      <c r="H195" s="14" t="n">
        <v>0</v>
      </c>
      <c r="I195" s="11">
        <f>IF(F195="Labor",IF(C195="USD",IFERROR(VLOOKUP(D195,Recursos!$A$3:$F$100,4,FALSE),""),IFERROR(VLOOKUP(D195,Recursos!$A$3:$F$100,5,FALSE),"")),"")</f>
        <v/>
      </c>
      <c r="J195" s="10" t="n">
        <v>0</v>
      </c>
      <c r="K195" s="11">
        <f>IF(F195="Labor",IF(C195="USD",H195*I195,(H195*I195)/Setup!$B$7),IF(C195="USD",J195,J195/Setup!$B$7))</f>
        <v/>
      </c>
      <c r="L195" s="11">
        <f>K195*Setup!$B$7</f>
        <v/>
      </c>
      <c r="M195" s="10" t="n"/>
      <c r="N195" s="10" t="inlineStr">
        <is>
          <t>S</t>
        </is>
      </c>
      <c r="O195" s="10" t="n"/>
      <c r="P195" s="10" t="n"/>
    </row>
    <row r="196">
      <c r="A196" s="10" t="n"/>
      <c r="B196" s="11">
        <f>IF(A196="","",TEXT(A196,"yyyy-mm"))</f>
        <v/>
      </c>
      <c r="C196" s="10" t="inlineStr">
        <is>
          <t>USD</t>
        </is>
      </c>
      <c r="D196" s="10" t="n"/>
      <c r="E196" s="11">
        <f>IFERROR(VLOOKUP(D196,Recursos!$A$3:$F$100,2,FALSE),"")</f>
        <v/>
      </c>
      <c r="F196" s="10" t="n"/>
      <c r="G196" s="10" t="n"/>
      <c r="H196" s="14" t="n">
        <v>0</v>
      </c>
      <c r="I196" s="11">
        <f>IF(F196="Labor",IF(C196="USD",IFERROR(VLOOKUP(D196,Recursos!$A$3:$F$100,4,FALSE),""),IFERROR(VLOOKUP(D196,Recursos!$A$3:$F$100,5,FALSE),"")),"")</f>
        <v/>
      </c>
      <c r="J196" s="10" t="n">
        <v>0</v>
      </c>
      <c r="K196" s="11">
        <f>IF(F196="Labor",IF(C196="USD",H196*I196,(H196*I196)/Setup!$B$7),IF(C196="USD",J196,J196/Setup!$B$7))</f>
        <v/>
      </c>
      <c r="L196" s="11">
        <f>K196*Setup!$B$7</f>
        <v/>
      </c>
      <c r="M196" s="10" t="n"/>
      <c r="N196" s="10" t="inlineStr">
        <is>
          <t>S</t>
        </is>
      </c>
      <c r="O196" s="10" t="n"/>
      <c r="P196" s="10" t="n"/>
    </row>
    <row r="197">
      <c r="A197" s="10" t="n"/>
      <c r="B197" s="11">
        <f>IF(A197="","",TEXT(A197,"yyyy-mm"))</f>
        <v/>
      </c>
      <c r="C197" s="10" t="inlineStr">
        <is>
          <t>USD</t>
        </is>
      </c>
      <c r="D197" s="10" t="n"/>
      <c r="E197" s="11">
        <f>IFERROR(VLOOKUP(D197,Recursos!$A$3:$F$100,2,FALSE),"")</f>
        <v/>
      </c>
      <c r="F197" s="10" t="n"/>
      <c r="G197" s="10" t="n"/>
      <c r="H197" s="14" t="n">
        <v>0</v>
      </c>
      <c r="I197" s="11">
        <f>IF(F197="Labor",IF(C197="USD",IFERROR(VLOOKUP(D197,Recursos!$A$3:$F$100,4,FALSE),""),IFERROR(VLOOKUP(D197,Recursos!$A$3:$F$100,5,FALSE),"")),"")</f>
        <v/>
      </c>
      <c r="J197" s="10" t="n">
        <v>0</v>
      </c>
      <c r="K197" s="11">
        <f>IF(F197="Labor",IF(C197="USD",H197*I197,(H197*I197)/Setup!$B$7),IF(C197="USD",J197,J197/Setup!$B$7))</f>
        <v/>
      </c>
      <c r="L197" s="11">
        <f>K197*Setup!$B$7</f>
        <v/>
      </c>
      <c r="M197" s="10" t="n"/>
      <c r="N197" s="10" t="inlineStr">
        <is>
          <t>S</t>
        </is>
      </c>
      <c r="O197" s="10" t="n"/>
      <c r="P197" s="10" t="n"/>
    </row>
    <row r="198">
      <c r="A198" s="10" t="n"/>
      <c r="B198" s="11">
        <f>IF(A198="","",TEXT(A198,"yyyy-mm"))</f>
        <v/>
      </c>
      <c r="C198" s="10" t="inlineStr">
        <is>
          <t>USD</t>
        </is>
      </c>
      <c r="D198" s="10" t="n"/>
      <c r="E198" s="11">
        <f>IFERROR(VLOOKUP(D198,Recursos!$A$3:$F$100,2,FALSE),"")</f>
        <v/>
      </c>
      <c r="F198" s="10" t="n"/>
      <c r="G198" s="10" t="n"/>
      <c r="H198" s="14" t="n">
        <v>0</v>
      </c>
      <c r="I198" s="11">
        <f>IF(F198="Labor",IF(C198="USD",IFERROR(VLOOKUP(D198,Recursos!$A$3:$F$100,4,FALSE),""),IFERROR(VLOOKUP(D198,Recursos!$A$3:$F$100,5,FALSE),"")),"")</f>
        <v/>
      </c>
      <c r="J198" s="10" t="n">
        <v>0</v>
      </c>
      <c r="K198" s="11">
        <f>IF(F198="Labor",IF(C198="USD",H198*I198,(H198*I198)/Setup!$B$7),IF(C198="USD",J198,J198/Setup!$B$7))</f>
        <v/>
      </c>
      <c r="L198" s="11">
        <f>K198*Setup!$B$7</f>
        <v/>
      </c>
      <c r="M198" s="10" t="n"/>
      <c r="N198" s="10" t="inlineStr">
        <is>
          <t>S</t>
        </is>
      </c>
      <c r="O198" s="10" t="n"/>
      <c r="P198" s="10" t="n"/>
    </row>
    <row r="199">
      <c r="A199" s="10" t="n"/>
      <c r="B199" s="11">
        <f>IF(A199="","",TEXT(A199,"yyyy-mm"))</f>
        <v/>
      </c>
      <c r="C199" s="10" t="inlineStr">
        <is>
          <t>USD</t>
        </is>
      </c>
      <c r="D199" s="10" t="n"/>
      <c r="E199" s="11">
        <f>IFERROR(VLOOKUP(D199,Recursos!$A$3:$F$100,2,FALSE),"")</f>
        <v/>
      </c>
      <c r="F199" s="10" t="n"/>
      <c r="G199" s="10" t="n"/>
      <c r="H199" s="14" t="n">
        <v>0</v>
      </c>
      <c r="I199" s="11">
        <f>IF(F199="Labor",IF(C199="USD",IFERROR(VLOOKUP(D199,Recursos!$A$3:$F$100,4,FALSE),""),IFERROR(VLOOKUP(D199,Recursos!$A$3:$F$100,5,FALSE),"")),"")</f>
        <v/>
      </c>
      <c r="J199" s="10" t="n">
        <v>0</v>
      </c>
      <c r="K199" s="11">
        <f>IF(F199="Labor",IF(C199="USD",H199*I199,(H199*I199)/Setup!$B$7),IF(C199="USD",J199,J199/Setup!$B$7))</f>
        <v/>
      </c>
      <c r="L199" s="11">
        <f>K199*Setup!$B$7</f>
        <v/>
      </c>
      <c r="M199" s="10" t="n"/>
      <c r="N199" s="10" t="inlineStr">
        <is>
          <t>S</t>
        </is>
      </c>
      <c r="O199" s="10" t="n"/>
      <c r="P199" s="10" t="n"/>
    </row>
    <row r="200">
      <c r="A200" s="10" t="n"/>
      <c r="B200" s="11">
        <f>IF(A200="","",TEXT(A200,"yyyy-mm"))</f>
        <v/>
      </c>
      <c r="C200" s="10" t="inlineStr">
        <is>
          <t>USD</t>
        </is>
      </c>
      <c r="D200" s="10" t="n"/>
      <c r="E200" s="11">
        <f>IFERROR(VLOOKUP(D200,Recursos!$A$3:$F$100,2,FALSE),"")</f>
        <v/>
      </c>
      <c r="F200" s="10" t="n"/>
      <c r="G200" s="10" t="n"/>
      <c r="H200" s="14" t="n">
        <v>0</v>
      </c>
      <c r="I200" s="11">
        <f>IF(F200="Labor",IF(C200="USD",IFERROR(VLOOKUP(D200,Recursos!$A$3:$F$100,4,FALSE),""),IFERROR(VLOOKUP(D200,Recursos!$A$3:$F$100,5,FALSE),"")),"")</f>
        <v/>
      </c>
      <c r="J200" s="10" t="n">
        <v>0</v>
      </c>
      <c r="K200" s="11">
        <f>IF(F200="Labor",IF(C200="USD",H200*I200,(H200*I200)/Setup!$B$7),IF(C200="USD",J200,J200/Setup!$B$7))</f>
        <v/>
      </c>
      <c r="L200" s="11">
        <f>K200*Setup!$B$7</f>
        <v/>
      </c>
      <c r="M200" s="10" t="n"/>
      <c r="N200" s="10" t="inlineStr">
        <is>
          <t>S</t>
        </is>
      </c>
      <c r="O200" s="10" t="n"/>
      <c r="P200" s="10" t="n"/>
    </row>
    <row r="201">
      <c r="A201" s="10" t="n"/>
      <c r="B201" s="11">
        <f>IF(A201="","",TEXT(A201,"yyyy-mm"))</f>
        <v/>
      </c>
      <c r="C201" s="10" t="inlineStr">
        <is>
          <t>USD</t>
        </is>
      </c>
      <c r="D201" s="10" t="n"/>
      <c r="E201" s="11">
        <f>IFERROR(VLOOKUP(D201,Recursos!$A$3:$F$100,2,FALSE),"")</f>
        <v/>
      </c>
      <c r="F201" s="10" t="n"/>
      <c r="G201" s="10" t="n"/>
      <c r="H201" s="14" t="n">
        <v>0</v>
      </c>
      <c r="I201" s="11">
        <f>IF(F201="Labor",IF(C201="USD",IFERROR(VLOOKUP(D201,Recursos!$A$3:$F$100,4,FALSE),""),IFERROR(VLOOKUP(D201,Recursos!$A$3:$F$100,5,FALSE),"")),"")</f>
        <v/>
      </c>
      <c r="J201" s="10" t="n">
        <v>0</v>
      </c>
      <c r="K201" s="11">
        <f>IF(F201="Labor",IF(C201="USD",H201*I201,(H201*I201)/Setup!$B$7),IF(C201="USD",J201,J201/Setup!$B$7))</f>
        <v/>
      </c>
      <c r="L201" s="11">
        <f>K201*Setup!$B$7</f>
        <v/>
      </c>
      <c r="M201" s="10" t="n"/>
      <c r="N201" s="10" t="inlineStr">
        <is>
          <t>S</t>
        </is>
      </c>
      <c r="O201" s="10" t="n"/>
      <c r="P201" s="10" t="n"/>
    </row>
    <row r="202">
      <c r="A202" s="10" t="n"/>
      <c r="B202" s="11">
        <f>IF(A202="","",TEXT(A202,"yyyy-mm"))</f>
        <v/>
      </c>
      <c r="C202" s="10" t="inlineStr">
        <is>
          <t>USD</t>
        </is>
      </c>
      <c r="D202" s="10" t="n"/>
      <c r="E202" s="11">
        <f>IFERROR(VLOOKUP(D202,Recursos!$A$3:$F$100,2,FALSE),"")</f>
        <v/>
      </c>
      <c r="F202" s="10" t="n"/>
      <c r="G202" s="10" t="n"/>
      <c r="H202" s="14" t="n">
        <v>0</v>
      </c>
      <c r="I202" s="11">
        <f>IF(F202="Labor",IF(C202="USD",IFERROR(VLOOKUP(D202,Recursos!$A$3:$F$100,4,FALSE),""),IFERROR(VLOOKUP(D202,Recursos!$A$3:$F$100,5,FALSE),"")),"")</f>
        <v/>
      </c>
      <c r="J202" s="10" t="n">
        <v>0</v>
      </c>
      <c r="K202" s="11">
        <f>IF(F202="Labor",IF(C202="USD",H202*I202,(H202*I202)/Setup!$B$7),IF(C202="USD",J202,J202/Setup!$B$7))</f>
        <v/>
      </c>
      <c r="L202" s="11">
        <f>K202*Setup!$B$7</f>
        <v/>
      </c>
      <c r="M202" s="10" t="n"/>
      <c r="N202" s="10" t="inlineStr">
        <is>
          <t>S</t>
        </is>
      </c>
      <c r="O202" s="10" t="n"/>
      <c r="P202" s="10" t="n"/>
    </row>
    <row r="203">
      <c r="A203" s="10" t="n"/>
      <c r="B203" s="11">
        <f>IF(A203="","",TEXT(A203,"yyyy-mm"))</f>
        <v/>
      </c>
      <c r="C203" s="10" t="inlineStr">
        <is>
          <t>USD</t>
        </is>
      </c>
      <c r="D203" s="10" t="n"/>
      <c r="E203" s="11">
        <f>IFERROR(VLOOKUP(D203,Recursos!$A$3:$F$100,2,FALSE),"")</f>
        <v/>
      </c>
      <c r="F203" s="10" t="n"/>
      <c r="G203" s="10" t="n"/>
      <c r="H203" s="14" t="n">
        <v>0</v>
      </c>
      <c r="I203" s="11">
        <f>IF(F203="Labor",IF(C203="USD",IFERROR(VLOOKUP(D203,Recursos!$A$3:$F$100,4,FALSE),""),IFERROR(VLOOKUP(D203,Recursos!$A$3:$F$100,5,FALSE),"")),"")</f>
        <v/>
      </c>
      <c r="J203" s="10" t="n">
        <v>0</v>
      </c>
      <c r="K203" s="11">
        <f>IF(F203="Labor",IF(C203="USD",H203*I203,(H203*I203)/Setup!$B$7),IF(C203="USD",J203,J203/Setup!$B$7))</f>
        <v/>
      </c>
      <c r="L203" s="11">
        <f>K203*Setup!$B$7</f>
        <v/>
      </c>
      <c r="M203" s="10" t="n"/>
      <c r="N203" s="10" t="inlineStr">
        <is>
          <t>S</t>
        </is>
      </c>
      <c r="O203" s="10" t="n"/>
      <c r="P203" s="10" t="n"/>
    </row>
    <row r="204">
      <c r="A204" s="10" t="n"/>
      <c r="B204" s="11">
        <f>IF(A204="","",TEXT(A204,"yyyy-mm"))</f>
        <v/>
      </c>
      <c r="C204" s="10" t="inlineStr">
        <is>
          <t>USD</t>
        </is>
      </c>
      <c r="D204" s="10" t="n"/>
      <c r="E204" s="11">
        <f>IFERROR(VLOOKUP(D204,Recursos!$A$3:$F$100,2,FALSE),"")</f>
        <v/>
      </c>
      <c r="F204" s="10" t="n"/>
      <c r="G204" s="10" t="n"/>
      <c r="H204" s="14" t="n">
        <v>0</v>
      </c>
      <c r="I204" s="11">
        <f>IF(F204="Labor",IF(C204="USD",IFERROR(VLOOKUP(D204,Recursos!$A$3:$F$100,4,FALSE),""),IFERROR(VLOOKUP(D204,Recursos!$A$3:$F$100,5,FALSE),"")),"")</f>
        <v/>
      </c>
      <c r="J204" s="10" t="n">
        <v>0</v>
      </c>
      <c r="K204" s="11">
        <f>IF(F204="Labor",IF(C204="USD",H204*I204,(H204*I204)/Setup!$B$7),IF(C204="USD",J204,J204/Setup!$B$7))</f>
        <v/>
      </c>
      <c r="L204" s="11">
        <f>K204*Setup!$B$7</f>
        <v/>
      </c>
      <c r="M204" s="10" t="n"/>
      <c r="N204" s="10" t="inlineStr">
        <is>
          <t>S</t>
        </is>
      </c>
      <c r="O204" s="10" t="n"/>
      <c r="P204" s="10" t="n"/>
    </row>
    <row r="205">
      <c r="A205" s="10" t="n"/>
      <c r="B205" s="11">
        <f>IF(A205="","",TEXT(A205,"yyyy-mm"))</f>
        <v/>
      </c>
      <c r="C205" s="10" t="inlineStr">
        <is>
          <t>USD</t>
        </is>
      </c>
      <c r="D205" s="10" t="n"/>
      <c r="E205" s="11">
        <f>IFERROR(VLOOKUP(D205,Recursos!$A$3:$F$100,2,FALSE),"")</f>
        <v/>
      </c>
      <c r="F205" s="10" t="n"/>
      <c r="G205" s="10" t="n"/>
      <c r="H205" s="14" t="n">
        <v>0</v>
      </c>
      <c r="I205" s="11">
        <f>IF(F205="Labor",IF(C205="USD",IFERROR(VLOOKUP(D205,Recursos!$A$3:$F$100,4,FALSE),""),IFERROR(VLOOKUP(D205,Recursos!$A$3:$F$100,5,FALSE),"")),"")</f>
        <v/>
      </c>
      <c r="J205" s="10" t="n">
        <v>0</v>
      </c>
      <c r="K205" s="11">
        <f>IF(F205="Labor",IF(C205="USD",H205*I205,(H205*I205)/Setup!$B$7),IF(C205="USD",J205,J205/Setup!$B$7))</f>
        <v/>
      </c>
      <c r="L205" s="11">
        <f>K205*Setup!$B$7</f>
        <v/>
      </c>
      <c r="M205" s="10" t="n"/>
      <c r="N205" s="10" t="inlineStr">
        <is>
          <t>S</t>
        </is>
      </c>
      <c r="O205" s="10" t="n"/>
      <c r="P205" s="10" t="n"/>
    </row>
    <row r="206">
      <c r="A206" s="10" t="n"/>
      <c r="B206" s="11">
        <f>IF(A206="","",TEXT(A206,"yyyy-mm"))</f>
        <v/>
      </c>
      <c r="C206" s="10" t="inlineStr">
        <is>
          <t>USD</t>
        </is>
      </c>
      <c r="D206" s="10" t="n"/>
      <c r="E206" s="11">
        <f>IFERROR(VLOOKUP(D206,Recursos!$A$3:$F$100,2,FALSE),"")</f>
        <v/>
      </c>
      <c r="F206" s="10" t="n"/>
      <c r="G206" s="10" t="n"/>
      <c r="H206" s="14" t="n">
        <v>0</v>
      </c>
      <c r="I206" s="11">
        <f>IF(F206="Labor",IF(C206="USD",IFERROR(VLOOKUP(D206,Recursos!$A$3:$F$100,4,FALSE),""),IFERROR(VLOOKUP(D206,Recursos!$A$3:$F$100,5,FALSE),"")),"")</f>
        <v/>
      </c>
      <c r="J206" s="10" t="n">
        <v>0</v>
      </c>
      <c r="K206" s="11">
        <f>IF(F206="Labor",IF(C206="USD",H206*I206,(H206*I206)/Setup!$B$7),IF(C206="USD",J206,J206/Setup!$B$7))</f>
        <v/>
      </c>
      <c r="L206" s="11">
        <f>K206*Setup!$B$7</f>
        <v/>
      </c>
      <c r="M206" s="10" t="n"/>
      <c r="N206" s="10" t="inlineStr">
        <is>
          <t>S</t>
        </is>
      </c>
      <c r="O206" s="10" t="n"/>
      <c r="P206" s="10" t="n"/>
    </row>
    <row r="207">
      <c r="A207" s="10" t="n"/>
      <c r="B207" s="11">
        <f>IF(A207="","",TEXT(A207,"yyyy-mm"))</f>
        <v/>
      </c>
      <c r="C207" s="10" t="inlineStr">
        <is>
          <t>USD</t>
        </is>
      </c>
      <c r="D207" s="10" t="n"/>
      <c r="E207" s="11">
        <f>IFERROR(VLOOKUP(D207,Recursos!$A$3:$F$100,2,FALSE),"")</f>
        <v/>
      </c>
      <c r="F207" s="10" t="n"/>
      <c r="G207" s="10" t="n"/>
      <c r="H207" s="14" t="n">
        <v>0</v>
      </c>
      <c r="I207" s="11">
        <f>IF(F207="Labor",IF(C207="USD",IFERROR(VLOOKUP(D207,Recursos!$A$3:$F$100,4,FALSE),""),IFERROR(VLOOKUP(D207,Recursos!$A$3:$F$100,5,FALSE),"")),"")</f>
        <v/>
      </c>
      <c r="J207" s="10" t="n">
        <v>0</v>
      </c>
      <c r="K207" s="11">
        <f>IF(F207="Labor",IF(C207="USD",H207*I207,(H207*I207)/Setup!$B$7),IF(C207="USD",J207,J207/Setup!$B$7))</f>
        <v/>
      </c>
      <c r="L207" s="11">
        <f>K207*Setup!$B$7</f>
        <v/>
      </c>
      <c r="M207" s="10" t="n"/>
      <c r="N207" s="10" t="inlineStr">
        <is>
          <t>S</t>
        </is>
      </c>
      <c r="O207" s="10" t="n"/>
      <c r="P207" s="10" t="n"/>
    </row>
    <row r="208">
      <c r="A208" s="10" t="n"/>
      <c r="B208" s="11">
        <f>IF(A208="","",TEXT(A208,"yyyy-mm"))</f>
        <v/>
      </c>
      <c r="C208" s="10" t="inlineStr">
        <is>
          <t>USD</t>
        </is>
      </c>
      <c r="D208" s="10" t="n"/>
      <c r="E208" s="11">
        <f>IFERROR(VLOOKUP(D208,Recursos!$A$3:$F$100,2,FALSE),"")</f>
        <v/>
      </c>
      <c r="F208" s="10" t="n"/>
      <c r="G208" s="10" t="n"/>
      <c r="H208" s="14" t="n">
        <v>0</v>
      </c>
      <c r="I208" s="11">
        <f>IF(F208="Labor",IF(C208="USD",IFERROR(VLOOKUP(D208,Recursos!$A$3:$F$100,4,FALSE),""),IFERROR(VLOOKUP(D208,Recursos!$A$3:$F$100,5,FALSE),"")),"")</f>
        <v/>
      </c>
      <c r="J208" s="10" t="n">
        <v>0</v>
      </c>
      <c r="K208" s="11">
        <f>IF(F208="Labor",IF(C208="USD",H208*I208,(H208*I208)/Setup!$B$7),IF(C208="USD",J208,J208/Setup!$B$7))</f>
        <v/>
      </c>
      <c r="L208" s="11">
        <f>K208*Setup!$B$7</f>
        <v/>
      </c>
      <c r="M208" s="10" t="n"/>
      <c r="N208" s="10" t="inlineStr">
        <is>
          <t>S</t>
        </is>
      </c>
      <c r="O208" s="10" t="n"/>
      <c r="P208" s="10" t="n"/>
    </row>
    <row r="209">
      <c r="A209" s="10" t="n"/>
      <c r="B209" s="11">
        <f>IF(A209="","",TEXT(A209,"yyyy-mm"))</f>
        <v/>
      </c>
      <c r="C209" s="10" t="inlineStr">
        <is>
          <t>USD</t>
        </is>
      </c>
      <c r="D209" s="10" t="n"/>
      <c r="E209" s="11">
        <f>IFERROR(VLOOKUP(D209,Recursos!$A$3:$F$100,2,FALSE),"")</f>
        <v/>
      </c>
      <c r="F209" s="10" t="n"/>
      <c r="G209" s="10" t="n"/>
      <c r="H209" s="14" t="n">
        <v>0</v>
      </c>
      <c r="I209" s="11">
        <f>IF(F209="Labor",IF(C209="USD",IFERROR(VLOOKUP(D209,Recursos!$A$3:$F$100,4,FALSE),""),IFERROR(VLOOKUP(D209,Recursos!$A$3:$F$100,5,FALSE),"")),"")</f>
        <v/>
      </c>
      <c r="J209" s="10" t="n">
        <v>0</v>
      </c>
      <c r="K209" s="11">
        <f>IF(F209="Labor",IF(C209="USD",H209*I209,(H209*I209)/Setup!$B$7),IF(C209="USD",J209,J209/Setup!$B$7))</f>
        <v/>
      </c>
      <c r="L209" s="11">
        <f>K209*Setup!$B$7</f>
        <v/>
      </c>
      <c r="M209" s="10" t="n"/>
      <c r="N209" s="10" t="inlineStr">
        <is>
          <t>S</t>
        </is>
      </c>
      <c r="O209" s="10" t="n"/>
      <c r="P209" s="10" t="n"/>
    </row>
    <row r="210">
      <c r="A210" s="10" t="n"/>
      <c r="B210" s="11">
        <f>IF(A210="","",TEXT(A210,"yyyy-mm"))</f>
        <v/>
      </c>
      <c r="C210" s="10" t="inlineStr">
        <is>
          <t>USD</t>
        </is>
      </c>
      <c r="D210" s="10" t="n"/>
      <c r="E210" s="11">
        <f>IFERROR(VLOOKUP(D210,Recursos!$A$3:$F$100,2,FALSE),"")</f>
        <v/>
      </c>
      <c r="F210" s="10" t="n"/>
      <c r="G210" s="10" t="n"/>
      <c r="H210" s="14" t="n">
        <v>0</v>
      </c>
      <c r="I210" s="11">
        <f>IF(F210="Labor",IF(C210="USD",IFERROR(VLOOKUP(D210,Recursos!$A$3:$F$100,4,FALSE),""),IFERROR(VLOOKUP(D210,Recursos!$A$3:$F$100,5,FALSE),"")),"")</f>
        <v/>
      </c>
      <c r="J210" s="10" t="n">
        <v>0</v>
      </c>
      <c r="K210" s="11">
        <f>IF(F210="Labor",IF(C210="USD",H210*I210,(H210*I210)/Setup!$B$7),IF(C210="USD",J210,J210/Setup!$B$7))</f>
        <v/>
      </c>
      <c r="L210" s="11">
        <f>K210*Setup!$B$7</f>
        <v/>
      </c>
      <c r="M210" s="10" t="n"/>
      <c r="N210" s="10" t="inlineStr">
        <is>
          <t>S</t>
        </is>
      </c>
      <c r="O210" s="10" t="n"/>
      <c r="P210" s="10" t="n"/>
    </row>
    <row r="211">
      <c r="A211" s="10" t="n"/>
      <c r="B211" s="11">
        <f>IF(A211="","",TEXT(A211,"yyyy-mm"))</f>
        <v/>
      </c>
      <c r="C211" s="10" t="inlineStr">
        <is>
          <t>USD</t>
        </is>
      </c>
      <c r="D211" s="10" t="n"/>
      <c r="E211" s="11">
        <f>IFERROR(VLOOKUP(D211,Recursos!$A$3:$F$100,2,FALSE),"")</f>
        <v/>
      </c>
      <c r="F211" s="10" t="n"/>
      <c r="G211" s="10" t="n"/>
      <c r="H211" s="14" t="n">
        <v>0</v>
      </c>
      <c r="I211" s="11">
        <f>IF(F211="Labor",IF(C211="USD",IFERROR(VLOOKUP(D211,Recursos!$A$3:$F$100,4,FALSE),""),IFERROR(VLOOKUP(D211,Recursos!$A$3:$F$100,5,FALSE),"")),"")</f>
        <v/>
      </c>
      <c r="J211" s="10" t="n">
        <v>0</v>
      </c>
      <c r="K211" s="11">
        <f>IF(F211="Labor",IF(C211="USD",H211*I211,(H211*I211)/Setup!$B$7),IF(C211="USD",J211,J211/Setup!$B$7))</f>
        <v/>
      </c>
      <c r="L211" s="11">
        <f>K211*Setup!$B$7</f>
        <v/>
      </c>
      <c r="M211" s="10" t="n"/>
      <c r="N211" s="10" t="inlineStr">
        <is>
          <t>S</t>
        </is>
      </c>
      <c r="O211" s="10" t="n"/>
      <c r="P211" s="10" t="n"/>
    </row>
    <row r="212">
      <c r="A212" s="10" t="n"/>
      <c r="B212" s="11">
        <f>IF(A212="","",TEXT(A212,"yyyy-mm"))</f>
        <v/>
      </c>
      <c r="C212" s="10" t="inlineStr">
        <is>
          <t>USD</t>
        </is>
      </c>
      <c r="D212" s="10" t="n"/>
      <c r="E212" s="11">
        <f>IFERROR(VLOOKUP(D212,Recursos!$A$3:$F$100,2,FALSE),"")</f>
        <v/>
      </c>
      <c r="F212" s="10" t="n"/>
      <c r="G212" s="10" t="n"/>
      <c r="H212" s="14" t="n">
        <v>0</v>
      </c>
      <c r="I212" s="11">
        <f>IF(F212="Labor",IF(C212="USD",IFERROR(VLOOKUP(D212,Recursos!$A$3:$F$100,4,FALSE),""),IFERROR(VLOOKUP(D212,Recursos!$A$3:$F$100,5,FALSE),"")),"")</f>
        <v/>
      </c>
      <c r="J212" s="10" t="n">
        <v>0</v>
      </c>
      <c r="K212" s="11">
        <f>IF(F212="Labor",IF(C212="USD",H212*I212,(H212*I212)/Setup!$B$7),IF(C212="USD",J212,J212/Setup!$B$7))</f>
        <v/>
      </c>
      <c r="L212" s="11">
        <f>K212*Setup!$B$7</f>
        <v/>
      </c>
      <c r="M212" s="10" t="n"/>
      <c r="N212" s="10" t="inlineStr">
        <is>
          <t>S</t>
        </is>
      </c>
      <c r="O212" s="10" t="n"/>
      <c r="P212" s="10" t="n"/>
    </row>
    <row r="213">
      <c r="A213" s="10" t="n"/>
      <c r="B213" s="11">
        <f>IF(A213="","",TEXT(A213,"yyyy-mm"))</f>
        <v/>
      </c>
      <c r="C213" s="10" t="inlineStr">
        <is>
          <t>USD</t>
        </is>
      </c>
      <c r="D213" s="10" t="n"/>
      <c r="E213" s="11">
        <f>IFERROR(VLOOKUP(D213,Recursos!$A$3:$F$100,2,FALSE),"")</f>
        <v/>
      </c>
      <c r="F213" s="10" t="n"/>
      <c r="G213" s="10" t="n"/>
      <c r="H213" s="14" t="n">
        <v>0</v>
      </c>
      <c r="I213" s="11">
        <f>IF(F213="Labor",IF(C213="USD",IFERROR(VLOOKUP(D213,Recursos!$A$3:$F$100,4,FALSE),""),IFERROR(VLOOKUP(D213,Recursos!$A$3:$F$100,5,FALSE),"")),"")</f>
        <v/>
      </c>
      <c r="J213" s="10" t="n">
        <v>0</v>
      </c>
      <c r="K213" s="11">
        <f>IF(F213="Labor",IF(C213="USD",H213*I213,(H213*I213)/Setup!$B$7),IF(C213="USD",J213,J213/Setup!$B$7))</f>
        <v/>
      </c>
      <c r="L213" s="11">
        <f>K213*Setup!$B$7</f>
        <v/>
      </c>
      <c r="M213" s="10" t="n"/>
      <c r="N213" s="10" t="inlineStr">
        <is>
          <t>S</t>
        </is>
      </c>
      <c r="O213" s="10" t="n"/>
      <c r="P213" s="10" t="n"/>
    </row>
    <row r="214">
      <c r="A214" s="10" t="n"/>
      <c r="B214" s="11">
        <f>IF(A214="","",TEXT(A214,"yyyy-mm"))</f>
        <v/>
      </c>
      <c r="C214" s="10" t="inlineStr">
        <is>
          <t>USD</t>
        </is>
      </c>
      <c r="D214" s="10" t="n"/>
      <c r="E214" s="11">
        <f>IFERROR(VLOOKUP(D214,Recursos!$A$3:$F$100,2,FALSE),"")</f>
        <v/>
      </c>
      <c r="F214" s="10" t="n"/>
      <c r="G214" s="10" t="n"/>
      <c r="H214" s="14" t="n">
        <v>0</v>
      </c>
      <c r="I214" s="11">
        <f>IF(F214="Labor",IF(C214="USD",IFERROR(VLOOKUP(D214,Recursos!$A$3:$F$100,4,FALSE),""),IFERROR(VLOOKUP(D214,Recursos!$A$3:$F$100,5,FALSE),"")),"")</f>
        <v/>
      </c>
      <c r="J214" s="10" t="n">
        <v>0</v>
      </c>
      <c r="K214" s="11">
        <f>IF(F214="Labor",IF(C214="USD",H214*I214,(H214*I214)/Setup!$B$7),IF(C214="USD",J214,J214/Setup!$B$7))</f>
        <v/>
      </c>
      <c r="L214" s="11">
        <f>K214*Setup!$B$7</f>
        <v/>
      </c>
      <c r="M214" s="10" t="n"/>
      <c r="N214" s="10" t="inlineStr">
        <is>
          <t>S</t>
        </is>
      </c>
      <c r="O214" s="10" t="n"/>
      <c r="P214" s="10" t="n"/>
    </row>
    <row r="215">
      <c r="A215" s="10" t="n"/>
      <c r="B215" s="11">
        <f>IF(A215="","",TEXT(A215,"yyyy-mm"))</f>
        <v/>
      </c>
      <c r="C215" s="10" t="inlineStr">
        <is>
          <t>USD</t>
        </is>
      </c>
      <c r="D215" s="10" t="n"/>
      <c r="E215" s="11">
        <f>IFERROR(VLOOKUP(D215,Recursos!$A$3:$F$100,2,FALSE),"")</f>
        <v/>
      </c>
      <c r="F215" s="10" t="n"/>
      <c r="G215" s="10" t="n"/>
      <c r="H215" s="14" t="n">
        <v>0</v>
      </c>
      <c r="I215" s="11">
        <f>IF(F215="Labor",IF(C215="USD",IFERROR(VLOOKUP(D215,Recursos!$A$3:$F$100,4,FALSE),""),IFERROR(VLOOKUP(D215,Recursos!$A$3:$F$100,5,FALSE),"")),"")</f>
        <v/>
      </c>
      <c r="J215" s="10" t="n">
        <v>0</v>
      </c>
      <c r="K215" s="11">
        <f>IF(F215="Labor",IF(C215="USD",H215*I215,(H215*I215)/Setup!$B$7),IF(C215="USD",J215,J215/Setup!$B$7))</f>
        <v/>
      </c>
      <c r="L215" s="11">
        <f>K215*Setup!$B$7</f>
        <v/>
      </c>
      <c r="M215" s="10" t="n"/>
      <c r="N215" s="10" t="inlineStr">
        <is>
          <t>S</t>
        </is>
      </c>
      <c r="O215" s="10" t="n"/>
      <c r="P215" s="10" t="n"/>
    </row>
    <row r="216">
      <c r="A216" s="10" t="n"/>
      <c r="B216" s="11">
        <f>IF(A216="","",TEXT(A216,"yyyy-mm"))</f>
        <v/>
      </c>
      <c r="C216" s="10" t="inlineStr">
        <is>
          <t>USD</t>
        </is>
      </c>
      <c r="D216" s="10" t="n"/>
      <c r="E216" s="11">
        <f>IFERROR(VLOOKUP(D216,Recursos!$A$3:$F$100,2,FALSE),"")</f>
        <v/>
      </c>
      <c r="F216" s="10" t="n"/>
      <c r="G216" s="10" t="n"/>
      <c r="H216" s="14" t="n">
        <v>0</v>
      </c>
      <c r="I216" s="11">
        <f>IF(F216="Labor",IF(C216="USD",IFERROR(VLOOKUP(D216,Recursos!$A$3:$F$100,4,FALSE),""),IFERROR(VLOOKUP(D216,Recursos!$A$3:$F$100,5,FALSE),"")),"")</f>
        <v/>
      </c>
      <c r="J216" s="10" t="n">
        <v>0</v>
      </c>
      <c r="K216" s="11">
        <f>IF(F216="Labor",IF(C216="USD",H216*I216,(H216*I216)/Setup!$B$7),IF(C216="USD",J216,J216/Setup!$B$7))</f>
        <v/>
      </c>
      <c r="L216" s="11">
        <f>K216*Setup!$B$7</f>
        <v/>
      </c>
      <c r="M216" s="10" t="n"/>
      <c r="N216" s="10" t="inlineStr">
        <is>
          <t>S</t>
        </is>
      </c>
      <c r="O216" s="10" t="n"/>
      <c r="P216" s="10" t="n"/>
    </row>
    <row r="217">
      <c r="A217" s="10" t="n"/>
      <c r="B217" s="11">
        <f>IF(A217="","",TEXT(A217,"yyyy-mm"))</f>
        <v/>
      </c>
      <c r="C217" s="10" t="inlineStr">
        <is>
          <t>USD</t>
        </is>
      </c>
      <c r="D217" s="10" t="n"/>
      <c r="E217" s="11">
        <f>IFERROR(VLOOKUP(D217,Recursos!$A$3:$F$100,2,FALSE),"")</f>
        <v/>
      </c>
      <c r="F217" s="10" t="n"/>
      <c r="G217" s="10" t="n"/>
      <c r="H217" s="14" t="n">
        <v>0</v>
      </c>
      <c r="I217" s="11">
        <f>IF(F217="Labor",IF(C217="USD",IFERROR(VLOOKUP(D217,Recursos!$A$3:$F$100,4,FALSE),""),IFERROR(VLOOKUP(D217,Recursos!$A$3:$F$100,5,FALSE),"")),"")</f>
        <v/>
      </c>
      <c r="J217" s="10" t="n">
        <v>0</v>
      </c>
      <c r="K217" s="11">
        <f>IF(F217="Labor",IF(C217="USD",H217*I217,(H217*I217)/Setup!$B$7),IF(C217="USD",J217,J217/Setup!$B$7))</f>
        <v/>
      </c>
      <c r="L217" s="11">
        <f>K217*Setup!$B$7</f>
        <v/>
      </c>
      <c r="M217" s="10" t="n"/>
      <c r="N217" s="10" t="inlineStr">
        <is>
          <t>S</t>
        </is>
      </c>
      <c r="O217" s="10" t="n"/>
      <c r="P217" s="10" t="n"/>
    </row>
    <row r="218">
      <c r="A218" s="10" t="n"/>
      <c r="B218" s="11">
        <f>IF(A218="","",TEXT(A218,"yyyy-mm"))</f>
        <v/>
      </c>
      <c r="C218" s="10" t="inlineStr">
        <is>
          <t>USD</t>
        </is>
      </c>
      <c r="D218" s="10" t="n"/>
      <c r="E218" s="11">
        <f>IFERROR(VLOOKUP(D218,Recursos!$A$3:$F$100,2,FALSE),"")</f>
        <v/>
      </c>
      <c r="F218" s="10" t="n"/>
      <c r="G218" s="10" t="n"/>
      <c r="H218" s="14" t="n">
        <v>0</v>
      </c>
      <c r="I218" s="11">
        <f>IF(F218="Labor",IF(C218="USD",IFERROR(VLOOKUP(D218,Recursos!$A$3:$F$100,4,FALSE),""),IFERROR(VLOOKUP(D218,Recursos!$A$3:$F$100,5,FALSE),"")),"")</f>
        <v/>
      </c>
      <c r="J218" s="10" t="n">
        <v>0</v>
      </c>
      <c r="K218" s="11">
        <f>IF(F218="Labor",IF(C218="USD",H218*I218,(H218*I218)/Setup!$B$7),IF(C218="USD",J218,J218/Setup!$B$7))</f>
        <v/>
      </c>
      <c r="L218" s="11">
        <f>K218*Setup!$B$7</f>
        <v/>
      </c>
      <c r="M218" s="10" t="n"/>
      <c r="N218" s="10" t="inlineStr">
        <is>
          <t>S</t>
        </is>
      </c>
      <c r="O218" s="10" t="n"/>
      <c r="P218" s="10" t="n"/>
    </row>
    <row r="219">
      <c r="A219" s="10" t="n"/>
      <c r="B219" s="11">
        <f>IF(A219="","",TEXT(A219,"yyyy-mm"))</f>
        <v/>
      </c>
      <c r="C219" s="10" t="inlineStr">
        <is>
          <t>USD</t>
        </is>
      </c>
      <c r="D219" s="10" t="n"/>
      <c r="E219" s="11">
        <f>IFERROR(VLOOKUP(D219,Recursos!$A$3:$F$100,2,FALSE),"")</f>
        <v/>
      </c>
      <c r="F219" s="10" t="n"/>
      <c r="G219" s="10" t="n"/>
      <c r="H219" s="14" t="n">
        <v>0</v>
      </c>
      <c r="I219" s="11">
        <f>IF(F219="Labor",IF(C219="USD",IFERROR(VLOOKUP(D219,Recursos!$A$3:$F$100,4,FALSE),""),IFERROR(VLOOKUP(D219,Recursos!$A$3:$F$100,5,FALSE),"")),"")</f>
        <v/>
      </c>
      <c r="J219" s="10" t="n">
        <v>0</v>
      </c>
      <c r="K219" s="11">
        <f>IF(F219="Labor",IF(C219="USD",H219*I219,(H219*I219)/Setup!$B$7),IF(C219="USD",J219,J219/Setup!$B$7))</f>
        <v/>
      </c>
      <c r="L219" s="11">
        <f>K219*Setup!$B$7</f>
        <v/>
      </c>
      <c r="M219" s="10" t="n"/>
      <c r="N219" s="10" t="inlineStr">
        <is>
          <t>S</t>
        </is>
      </c>
      <c r="O219" s="10" t="n"/>
      <c r="P219" s="10" t="n"/>
    </row>
    <row r="220">
      <c r="A220" s="10" t="n"/>
      <c r="B220" s="11">
        <f>IF(A220="","",TEXT(A220,"yyyy-mm"))</f>
        <v/>
      </c>
      <c r="C220" s="10" t="inlineStr">
        <is>
          <t>USD</t>
        </is>
      </c>
      <c r="D220" s="10" t="n"/>
      <c r="E220" s="11">
        <f>IFERROR(VLOOKUP(D220,Recursos!$A$3:$F$100,2,FALSE),"")</f>
        <v/>
      </c>
      <c r="F220" s="10" t="n"/>
      <c r="G220" s="10" t="n"/>
      <c r="H220" s="14" t="n">
        <v>0</v>
      </c>
      <c r="I220" s="11">
        <f>IF(F220="Labor",IF(C220="USD",IFERROR(VLOOKUP(D220,Recursos!$A$3:$F$100,4,FALSE),""),IFERROR(VLOOKUP(D220,Recursos!$A$3:$F$100,5,FALSE),"")),"")</f>
        <v/>
      </c>
      <c r="J220" s="10" t="n">
        <v>0</v>
      </c>
      <c r="K220" s="11">
        <f>IF(F220="Labor",IF(C220="USD",H220*I220,(H220*I220)/Setup!$B$7),IF(C220="USD",J220,J220/Setup!$B$7))</f>
        <v/>
      </c>
      <c r="L220" s="11">
        <f>K220*Setup!$B$7</f>
        <v/>
      </c>
      <c r="M220" s="10" t="n"/>
      <c r="N220" s="10" t="inlineStr">
        <is>
          <t>S</t>
        </is>
      </c>
      <c r="O220" s="10" t="n"/>
      <c r="P220" s="10" t="n"/>
    </row>
    <row r="221">
      <c r="A221" s="10" t="n"/>
      <c r="B221" s="11">
        <f>IF(A221="","",TEXT(A221,"yyyy-mm"))</f>
        <v/>
      </c>
      <c r="C221" s="10" t="inlineStr">
        <is>
          <t>USD</t>
        </is>
      </c>
      <c r="D221" s="10" t="n"/>
      <c r="E221" s="11">
        <f>IFERROR(VLOOKUP(D221,Recursos!$A$3:$F$100,2,FALSE),"")</f>
        <v/>
      </c>
      <c r="F221" s="10" t="n"/>
      <c r="G221" s="10" t="n"/>
      <c r="H221" s="14" t="n">
        <v>0</v>
      </c>
      <c r="I221" s="11">
        <f>IF(F221="Labor",IF(C221="USD",IFERROR(VLOOKUP(D221,Recursos!$A$3:$F$100,4,FALSE),""),IFERROR(VLOOKUP(D221,Recursos!$A$3:$F$100,5,FALSE),"")),"")</f>
        <v/>
      </c>
      <c r="J221" s="10" t="n">
        <v>0</v>
      </c>
      <c r="K221" s="11">
        <f>IF(F221="Labor",IF(C221="USD",H221*I221,(H221*I221)/Setup!$B$7),IF(C221="USD",J221,J221/Setup!$B$7))</f>
        <v/>
      </c>
      <c r="L221" s="11">
        <f>K221*Setup!$B$7</f>
        <v/>
      </c>
      <c r="M221" s="10" t="n"/>
      <c r="N221" s="10" t="inlineStr">
        <is>
          <t>S</t>
        </is>
      </c>
      <c r="O221" s="10" t="n"/>
      <c r="P221" s="10" t="n"/>
    </row>
    <row r="222">
      <c r="A222" s="10" t="n"/>
      <c r="B222" s="11">
        <f>IF(A222="","",TEXT(A222,"yyyy-mm"))</f>
        <v/>
      </c>
      <c r="C222" s="10" t="inlineStr">
        <is>
          <t>USD</t>
        </is>
      </c>
      <c r="D222" s="10" t="n"/>
      <c r="E222" s="11">
        <f>IFERROR(VLOOKUP(D222,Recursos!$A$3:$F$100,2,FALSE),"")</f>
        <v/>
      </c>
      <c r="F222" s="10" t="n"/>
      <c r="G222" s="10" t="n"/>
      <c r="H222" s="14" t="n">
        <v>0</v>
      </c>
      <c r="I222" s="11">
        <f>IF(F222="Labor",IF(C222="USD",IFERROR(VLOOKUP(D222,Recursos!$A$3:$F$100,4,FALSE),""),IFERROR(VLOOKUP(D222,Recursos!$A$3:$F$100,5,FALSE),"")),"")</f>
        <v/>
      </c>
      <c r="J222" s="10" t="n">
        <v>0</v>
      </c>
      <c r="K222" s="11">
        <f>IF(F222="Labor",IF(C222="USD",H222*I222,(H222*I222)/Setup!$B$7),IF(C222="USD",J222,J222/Setup!$B$7))</f>
        <v/>
      </c>
      <c r="L222" s="11">
        <f>K222*Setup!$B$7</f>
        <v/>
      </c>
      <c r="M222" s="10" t="n"/>
      <c r="N222" s="10" t="inlineStr">
        <is>
          <t>S</t>
        </is>
      </c>
      <c r="O222" s="10" t="n"/>
      <c r="P222" s="10" t="n"/>
    </row>
    <row r="223">
      <c r="A223" s="10" t="n"/>
      <c r="B223" s="11">
        <f>IF(A223="","",TEXT(A223,"yyyy-mm"))</f>
        <v/>
      </c>
      <c r="C223" s="10" t="inlineStr">
        <is>
          <t>USD</t>
        </is>
      </c>
      <c r="D223" s="10" t="n"/>
      <c r="E223" s="11">
        <f>IFERROR(VLOOKUP(D223,Recursos!$A$3:$F$100,2,FALSE),"")</f>
        <v/>
      </c>
      <c r="F223" s="10" t="n"/>
      <c r="G223" s="10" t="n"/>
      <c r="H223" s="14" t="n">
        <v>0</v>
      </c>
      <c r="I223" s="11">
        <f>IF(F223="Labor",IF(C223="USD",IFERROR(VLOOKUP(D223,Recursos!$A$3:$F$100,4,FALSE),""),IFERROR(VLOOKUP(D223,Recursos!$A$3:$F$100,5,FALSE),"")),"")</f>
        <v/>
      </c>
      <c r="J223" s="10" t="n">
        <v>0</v>
      </c>
      <c r="K223" s="11">
        <f>IF(F223="Labor",IF(C223="USD",H223*I223,(H223*I223)/Setup!$B$7),IF(C223="USD",J223,J223/Setup!$B$7))</f>
        <v/>
      </c>
      <c r="L223" s="11">
        <f>K223*Setup!$B$7</f>
        <v/>
      </c>
      <c r="M223" s="10" t="n"/>
      <c r="N223" s="10" t="inlineStr">
        <is>
          <t>S</t>
        </is>
      </c>
      <c r="O223" s="10" t="n"/>
      <c r="P223" s="10" t="n"/>
    </row>
    <row r="224">
      <c r="A224" s="10" t="n"/>
      <c r="B224" s="11">
        <f>IF(A224="","",TEXT(A224,"yyyy-mm"))</f>
        <v/>
      </c>
      <c r="C224" s="10" t="inlineStr">
        <is>
          <t>USD</t>
        </is>
      </c>
      <c r="D224" s="10" t="n"/>
      <c r="E224" s="11">
        <f>IFERROR(VLOOKUP(D224,Recursos!$A$3:$F$100,2,FALSE),"")</f>
        <v/>
      </c>
      <c r="F224" s="10" t="n"/>
      <c r="G224" s="10" t="n"/>
      <c r="H224" s="14" t="n">
        <v>0</v>
      </c>
      <c r="I224" s="11">
        <f>IF(F224="Labor",IF(C224="USD",IFERROR(VLOOKUP(D224,Recursos!$A$3:$F$100,4,FALSE),""),IFERROR(VLOOKUP(D224,Recursos!$A$3:$F$100,5,FALSE),"")),"")</f>
        <v/>
      </c>
      <c r="J224" s="10" t="n">
        <v>0</v>
      </c>
      <c r="K224" s="11">
        <f>IF(F224="Labor",IF(C224="USD",H224*I224,(H224*I224)/Setup!$B$7),IF(C224="USD",J224,J224/Setup!$B$7))</f>
        <v/>
      </c>
      <c r="L224" s="11">
        <f>K224*Setup!$B$7</f>
        <v/>
      </c>
      <c r="M224" s="10" t="n"/>
      <c r="N224" s="10" t="inlineStr">
        <is>
          <t>S</t>
        </is>
      </c>
      <c r="O224" s="10" t="n"/>
      <c r="P224" s="10" t="n"/>
    </row>
    <row r="225">
      <c r="A225" s="10" t="n"/>
      <c r="B225" s="11">
        <f>IF(A225="","",TEXT(A225,"yyyy-mm"))</f>
        <v/>
      </c>
      <c r="C225" s="10" t="inlineStr">
        <is>
          <t>USD</t>
        </is>
      </c>
      <c r="D225" s="10" t="n"/>
      <c r="E225" s="11">
        <f>IFERROR(VLOOKUP(D225,Recursos!$A$3:$F$100,2,FALSE),"")</f>
        <v/>
      </c>
      <c r="F225" s="10" t="n"/>
      <c r="G225" s="10" t="n"/>
      <c r="H225" s="14" t="n">
        <v>0</v>
      </c>
      <c r="I225" s="11">
        <f>IF(F225="Labor",IF(C225="USD",IFERROR(VLOOKUP(D225,Recursos!$A$3:$F$100,4,FALSE),""),IFERROR(VLOOKUP(D225,Recursos!$A$3:$F$100,5,FALSE),"")),"")</f>
        <v/>
      </c>
      <c r="J225" s="10" t="n">
        <v>0</v>
      </c>
      <c r="K225" s="11">
        <f>IF(F225="Labor",IF(C225="USD",H225*I225,(H225*I225)/Setup!$B$7),IF(C225="USD",J225,J225/Setup!$B$7))</f>
        <v/>
      </c>
      <c r="L225" s="11">
        <f>K225*Setup!$B$7</f>
        <v/>
      </c>
      <c r="M225" s="10" t="n"/>
      <c r="N225" s="10" t="inlineStr">
        <is>
          <t>S</t>
        </is>
      </c>
      <c r="O225" s="10" t="n"/>
      <c r="P225" s="10" t="n"/>
    </row>
    <row r="226">
      <c r="A226" s="10" t="n"/>
      <c r="B226" s="11">
        <f>IF(A226="","",TEXT(A226,"yyyy-mm"))</f>
        <v/>
      </c>
      <c r="C226" s="10" t="inlineStr">
        <is>
          <t>USD</t>
        </is>
      </c>
      <c r="D226" s="10" t="n"/>
      <c r="E226" s="11">
        <f>IFERROR(VLOOKUP(D226,Recursos!$A$3:$F$100,2,FALSE),"")</f>
        <v/>
      </c>
      <c r="F226" s="10" t="n"/>
      <c r="G226" s="10" t="n"/>
      <c r="H226" s="14" t="n">
        <v>0</v>
      </c>
      <c r="I226" s="11">
        <f>IF(F226="Labor",IF(C226="USD",IFERROR(VLOOKUP(D226,Recursos!$A$3:$F$100,4,FALSE),""),IFERROR(VLOOKUP(D226,Recursos!$A$3:$F$100,5,FALSE),"")),"")</f>
        <v/>
      </c>
      <c r="J226" s="10" t="n">
        <v>0</v>
      </c>
      <c r="K226" s="11">
        <f>IF(F226="Labor",IF(C226="USD",H226*I226,(H226*I226)/Setup!$B$7),IF(C226="USD",J226,J226/Setup!$B$7))</f>
        <v/>
      </c>
      <c r="L226" s="11">
        <f>K226*Setup!$B$7</f>
        <v/>
      </c>
      <c r="M226" s="10" t="n"/>
      <c r="N226" s="10" t="inlineStr">
        <is>
          <t>S</t>
        </is>
      </c>
      <c r="O226" s="10" t="n"/>
      <c r="P226" s="10" t="n"/>
    </row>
    <row r="227">
      <c r="A227" s="10" t="n"/>
      <c r="B227" s="11">
        <f>IF(A227="","",TEXT(A227,"yyyy-mm"))</f>
        <v/>
      </c>
      <c r="C227" s="10" t="inlineStr">
        <is>
          <t>USD</t>
        </is>
      </c>
      <c r="D227" s="10" t="n"/>
      <c r="E227" s="11">
        <f>IFERROR(VLOOKUP(D227,Recursos!$A$3:$F$100,2,FALSE),"")</f>
        <v/>
      </c>
      <c r="F227" s="10" t="n"/>
      <c r="G227" s="10" t="n"/>
      <c r="H227" s="14" t="n">
        <v>0</v>
      </c>
      <c r="I227" s="11">
        <f>IF(F227="Labor",IF(C227="USD",IFERROR(VLOOKUP(D227,Recursos!$A$3:$F$100,4,FALSE),""),IFERROR(VLOOKUP(D227,Recursos!$A$3:$F$100,5,FALSE),"")),"")</f>
        <v/>
      </c>
      <c r="J227" s="10" t="n">
        <v>0</v>
      </c>
      <c r="K227" s="11">
        <f>IF(F227="Labor",IF(C227="USD",H227*I227,(H227*I227)/Setup!$B$7),IF(C227="USD",J227,J227/Setup!$B$7))</f>
        <v/>
      </c>
      <c r="L227" s="11">
        <f>K227*Setup!$B$7</f>
        <v/>
      </c>
      <c r="M227" s="10" t="n"/>
      <c r="N227" s="10" t="inlineStr">
        <is>
          <t>S</t>
        </is>
      </c>
      <c r="O227" s="10" t="n"/>
      <c r="P227" s="10" t="n"/>
    </row>
    <row r="228">
      <c r="A228" s="10" t="n"/>
      <c r="B228" s="11">
        <f>IF(A228="","",TEXT(A228,"yyyy-mm"))</f>
        <v/>
      </c>
      <c r="C228" s="10" t="inlineStr">
        <is>
          <t>USD</t>
        </is>
      </c>
      <c r="D228" s="10" t="n"/>
      <c r="E228" s="11">
        <f>IFERROR(VLOOKUP(D228,Recursos!$A$3:$F$100,2,FALSE),"")</f>
        <v/>
      </c>
      <c r="F228" s="10" t="n"/>
      <c r="G228" s="10" t="n"/>
      <c r="H228" s="14" t="n">
        <v>0</v>
      </c>
      <c r="I228" s="11">
        <f>IF(F228="Labor",IF(C228="USD",IFERROR(VLOOKUP(D228,Recursos!$A$3:$F$100,4,FALSE),""),IFERROR(VLOOKUP(D228,Recursos!$A$3:$F$100,5,FALSE),"")),"")</f>
        <v/>
      </c>
      <c r="J228" s="10" t="n">
        <v>0</v>
      </c>
      <c r="K228" s="11">
        <f>IF(F228="Labor",IF(C228="USD",H228*I228,(H228*I228)/Setup!$B$7),IF(C228="USD",J228,J228/Setup!$B$7))</f>
        <v/>
      </c>
      <c r="L228" s="11">
        <f>K228*Setup!$B$7</f>
        <v/>
      </c>
      <c r="M228" s="10" t="n"/>
      <c r="N228" s="10" t="inlineStr">
        <is>
          <t>S</t>
        </is>
      </c>
      <c r="O228" s="10" t="n"/>
      <c r="P228" s="10" t="n"/>
    </row>
    <row r="229">
      <c r="A229" s="10" t="n"/>
      <c r="B229" s="11">
        <f>IF(A229="","",TEXT(A229,"yyyy-mm"))</f>
        <v/>
      </c>
      <c r="C229" s="10" t="inlineStr">
        <is>
          <t>USD</t>
        </is>
      </c>
      <c r="D229" s="10" t="n"/>
      <c r="E229" s="11">
        <f>IFERROR(VLOOKUP(D229,Recursos!$A$3:$F$100,2,FALSE),"")</f>
        <v/>
      </c>
      <c r="F229" s="10" t="n"/>
      <c r="G229" s="10" t="n"/>
      <c r="H229" s="14" t="n">
        <v>0</v>
      </c>
      <c r="I229" s="11">
        <f>IF(F229="Labor",IF(C229="USD",IFERROR(VLOOKUP(D229,Recursos!$A$3:$F$100,4,FALSE),""),IFERROR(VLOOKUP(D229,Recursos!$A$3:$F$100,5,FALSE),"")),"")</f>
        <v/>
      </c>
      <c r="J229" s="10" t="n">
        <v>0</v>
      </c>
      <c r="K229" s="11">
        <f>IF(F229="Labor",IF(C229="USD",H229*I229,(H229*I229)/Setup!$B$7),IF(C229="USD",J229,J229/Setup!$B$7))</f>
        <v/>
      </c>
      <c r="L229" s="11">
        <f>K229*Setup!$B$7</f>
        <v/>
      </c>
      <c r="M229" s="10" t="n"/>
      <c r="N229" s="10" t="inlineStr">
        <is>
          <t>S</t>
        </is>
      </c>
      <c r="O229" s="10" t="n"/>
      <c r="P229" s="10" t="n"/>
    </row>
    <row r="230">
      <c r="A230" s="10" t="n"/>
      <c r="B230" s="11">
        <f>IF(A230="","",TEXT(A230,"yyyy-mm"))</f>
        <v/>
      </c>
      <c r="C230" s="10" t="inlineStr">
        <is>
          <t>USD</t>
        </is>
      </c>
      <c r="D230" s="10" t="n"/>
      <c r="E230" s="11">
        <f>IFERROR(VLOOKUP(D230,Recursos!$A$3:$F$100,2,FALSE),"")</f>
        <v/>
      </c>
      <c r="F230" s="10" t="n"/>
      <c r="G230" s="10" t="n"/>
      <c r="H230" s="14" t="n">
        <v>0</v>
      </c>
      <c r="I230" s="11">
        <f>IF(F230="Labor",IF(C230="USD",IFERROR(VLOOKUP(D230,Recursos!$A$3:$F$100,4,FALSE),""),IFERROR(VLOOKUP(D230,Recursos!$A$3:$F$100,5,FALSE),"")),"")</f>
        <v/>
      </c>
      <c r="J230" s="10" t="n">
        <v>0</v>
      </c>
      <c r="K230" s="11">
        <f>IF(F230="Labor",IF(C230="USD",H230*I230,(H230*I230)/Setup!$B$7),IF(C230="USD",J230,J230/Setup!$B$7))</f>
        <v/>
      </c>
      <c r="L230" s="11">
        <f>K230*Setup!$B$7</f>
        <v/>
      </c>
      <c r="M230" s="10" t="n"/>
      <c r="N230" s="10" t="inlineStr">
        <is>
          <t>S</t>
        </is>
      </c>
      <c r="O230" s="10" t="n"/>
      <c r="P230" s="10" t="n"/>
    </row>
    <row r="231">
      <c r="A231" s="10" t="n"/>
      <c r="B231" s="11">
        <f>IF(A231="","",TEXT(A231,"yyyy-mm"))</f>
        <v/>
      </c>
      <c r="C231" s="10" t="inlineStr">
        <is>
          <t>USD</t>
        </is>
      </c>
      <c r="D231" s="10" t="n"/>
      <c r="E231" s="11">
        <f>IFERROR(VLOOKUP(D231,Recursos!$A$3:$F$100,2,FALSE),"")</f>
        <v/>
      </c>
      <c r="F231" s="10" t="n"/>
      <c r="G231" s="10" t="n"/>
      <c r="H231" s="14" t="n">
        <v>0</v>
      </c>
      <c r="I231" s="11">
        <f>IF(F231="Labor",IF(C231="USD",IFERROR(VLOOKUP(D231,Recursos!$A$3:$F$100,4,FALSE),""),IFERROR(VLOOKUP(D231,Recursos!$A$3:$F$100,5,FALSE),"")),"")</f>
        <v/>
      </c>
      <c r="J231" s="10" t="n">
        <v>0</v>
      </c>
      <c r="K231" s="11">
        <f>IF(F231="Labor",IF(C231="USD",H231*I231,(H231*I231)/Setup!$B$7),IF(C231="USD",J231,J231/Setup!$B$7))</f>
        <v/>
      </c>
      <c r="L231" s="11">
        <f>K231*Setup!$B$7</f>
        <v/>
      </c>
      <c r="M231" s="10" t="n"/>
      <c r="N231" s="10" t="inlineStr">
        <is>
          <t>S</t>
        </is>
      </c>
      <c r="O231" s="10" t="n"/>
      <c r="P231" s="10" t="n"/>
    </row>
    <row r="232">
      <c r="A232" s="10" t="n"/>
      <c r="B232" s="11">
        <f>IF(A232="","",TEXT(A232,"yyyy-mm"))</f>
        <v/>
      </c>
      <c r="C232" s="10" t="inlineStr">
        <is>
          <t>USD</t>
        </is>
      </c>
      <c r="D232" s="10" t="n"/>
      <c r="E232" s="11">
        <f>IFERROR(VLOOKUP(D232,Recursos!$A$3:$F$100,2,FALSE),"")</f>
        <v/>
      </c>
      <c r="F232" s="10" t="n"/>
      <c r="G232" s="10" t="n"/>
      <c r="H232" s="14" t="n">
        <v>0</v>
      </c>
      <c r="I232" s="11">
        <f>IF(F232="Labor",IF(C232="USD",IFERROR(VLOOKUP(D232,Recursos!$A$3:$F$100,4,FALSE),""),IFERROR(VLOOKUP(D232,Recursos!$A$3:$F$100,5,FALSE),"")),"")</f>
        <v/>
      </c>
      <c r="J232" s="10" t="n">
        <v>0</v>
      </c>
      <c r="K232" s="11">
        <f>IF(F232="Labor",IF(C232="USD",H232*I232,(H232*I232)/Setup!$B$7),IF(C232="USD",J232,J232/Setup!$B$7))</f>
        <v/>
      </c>
      <c r="L232" s="11">
        <f>K232*Setup!$B$7</f>
        <v/>
      </c>
      <c r="M232" s="10" t="n"/>
      <c r="N232" s="10" t="inlineStr">
        <is>
          <t>S</t>
        </is>
      </c>
      <c r="O232" s="10" t="n"/>
      <c r="P232" s="10" t="n"/>
    </row>
    <row r="233">
      <c r="A233" s="10" t="n"/>
      <c r="B233" s="11">
        <f>IF(A233="","",TEXT(A233,"yyyy-mm"))</f>
        <v/>
      </c>
      <c r="C233" s="10" t="inlineStr">
        <is>
          <t>USD</t>
        </is>
      </c>
      <c r="D233" s="10" t="n"/>
      <c r="E233" s="11">
        <f>IFERROR(VLOOKUP(D233,Recursos!$A$3:$F$100,2,FALSE),"")</f>
        <v/>
      </c>
      <c r="F233" s="10" t="n"/>
      <c r="G233" s="10" t="n"/>
      <c r="H233" s="14" t="n">
        <v>0</v>
      </c>
      <c r="I233" s="11">
        <f>IF(F233="Labor",IF(C233="USD",IFERROR(VLOOKUP(D233,Recursos!$A$3:$F$100,4,FALSE),""),IFERROR(VLOOKUP(D233,Recursos!$A$3:$F$100,5,FALSE),"")),"")</f>
        <v/>
      </c>
      <c r="J233" s="10" t="n">
        <v>0</v>
      </c>
      <c r="K233" s="11">
        <f>IF(F233="Labor",IF(C233="USD",H233*I233,(H233*I233)/Setup!$B$7),IF(C233="USD",J233,J233/Setup!$B$7))</f>
        <v/>
      </c>
      <c r="L233" s="11">
        <f>K233*Setup!$B$7</f>
        <v/>
      </c>
      <c r="M233" s="10" t="n"/>
      <c r="N233" s="10" t="inlineStr">
        <is>
          <t>S</t>
        </is>
      </c>
      <c r="O233" s="10" t="n"/>
      <c r="P233" s="10" t="n"/>
    </row>
    <row r="234">
      <c r="A234" s="10" t="n"/>
      <c r="B234" s="11">
        <f>IF(A234="","",TEXT(A234,"yyyy-mm"))</f>
        <v/>
      </c>
      <c r="C234" s="10" t="inlineStr">
        <is>
          <t>USD</t>
        </is>
      </c>
      <c r="D234" s="10" t="n"/>
      <c r="E234" s="11">
        <f>IFERROR(VLOOKUP(D234,Recursos!$A$3:$F$100,2,FALSE),"")</f>
        <v/>
      </c>
      <c r="F234" s="10" t="n"/>
      <c r="G234" s="10" t="n"/>
      <c r="H234" s="14" t="n">
        <v>0</v>
      </c>
      <c r="I234" s="11">
        <f>IF(F234="Labor",IF(C234="USD",IFERROR(VLOOKUP(D234,Recursos!$A$3:$F$100,4,FALSE),""),IFERROR(VLOOKUP(D234,Recursos!$A$3:$F$100,5,FALSE),"")),"")</f>
        <v/>
      </c>
      <c r="J234" s="10" t="n">
        <v>0</v>
      </c>
      <c r="K234" s="11">
        <f>IF(F234="Labor",IF(C234="USD",H234*I234,(H234*I234)/Setup!$B$7),IF(C234="USD",J234,J234/Setup!$B$7))</f>
        <v/>
      </c>
      <c r="L234" s="11">
        <f>K234*Setup!$B$7</f>
        <v/>
      </c>
      <c r="M234" s="10" t="n"/>
      <c r="N234" s="10" t="inlineStr">
        <is>
          <t>S</t>
        </is>
      </c>
      <c r="O234" s="10" t="n"/>
      <c r="P234" s="10" t="n"/>
    </row>
    <row r="235">
      <c r="A235" s="10" t="n"/>
      <c r="B235" s="11">
        <f>IF(A235="","",TEXT(A235,"yyyy-mm"))</f>
        <v/>
      </c>
      <c r="C235" s="10" t="inlineStr">
        <is>
          <t>USD</t>
        </is>
      </c>
      <c r="D235" s="10" t="n"/>
      <c r="E235" s="11">
        <f>IFERROR(VLOOKUP(D235,Recursos!$A$3:$F$100,2,FALSE),"")</f>
        <v/>
      </c>
      <c r="F235" s="10" t="n"/>
      <c r="G235" s="10" t="n"/>
      <c r="H235" s="14" t="n">
        <v>0</v>
      </c>
      <c r="I235" s="11">
        <f>IF(F235="Labor",IF(C235="USD",IFERROR(VLOOKUP(D235,Recursos!$A$3:$F$100,4,FALSE),""),IFERROR(VLOOKUP(D235,Recursos!$A$3:$F$100,5,FALSE),"")),"")</f>
        <v/>
      </c>
      <c r="J235" s="10" t="n">
        <v>0</v>
      </c>
      <c r="K235" s="11">
        <f>IF(F235="Labor",IF(C235="USD",H235*I235,(H235*I235)/Setup!$B$7),IF(C235="USD",J235,J235/Setup!$B$7))</f>
        <v/>
      </c>
      <c r="L235" s="11">
        <f>K235*Setup!$B$7</f>
        <v/>
      </c>
      <c r="M235" s="10" t="n"/>
      <c r="N235" s="10" t="inlineStr">
        <is>
          <t>S</t>
        </is>
      </c>
      <c r="O235" s="10" t="n"/>
      <c r="P235" s="10" t="n"/>
    </row>
    <row r="236">
      <c r="A236" s="10" t="n"/>
      <c r="B236" s="11">
        <f>IF(A236="","",TEXT(A236,"yyyy-mm"))</f>
        <v/>
      </c>
      <c r="C236" s="10" t="inlineStr">
        <is>
          <t>USD</t>
        </is>
      </c>
      <c r="D236" s="10" t="n"/>
      <c r="E236" s="11">
        <f>IFERROR(VLOOKUP(D236,Recursos!$A$3:$F$100,2,FALSE),"")</f>
        <v/>
      </c>
      <c r="F236" s="10" t="n"/>
      <c r="G236" s="10" t="n"/>
      <c r="H236" s="14" t="n">
        <v>0</v>
      </c>
      <c r="I236" s="11">
        <f>IF(F236="Labor",IF(C236="USD",IFERROR(VLOOKUP(D236,Recursos!$A$3:$F$100,4,FALSE),""),IFERROR(VLOOKUP(D236,Recursos!$A$3:$F$100,5,FALSE),"")),"")</f>
        <v/>
      </c>
      <c r="J236" s="10" t="n">
        <v>0</v>
      </c>
      <c r="K236" s="11">
        <f>IF(F236="Labor",IF(C236="USD",H236*I236,(H236*I236)/Setup!$B$7),IF(C236="USD",J236,J236/Setup!$B$7))</f>
        <v/>
      </c>
      <c r="L236" s="11">
        <f>K236*Setup!$B$7</f>
        <v/>
      </c>
      <c r="M236" s="10" t="n"/>
      <c r="N236" s="10" t="inlineStr">
        <is>
          <t>S</t>
        </is>
      </c>
      <c r="O236" s="10" t="n"/>
      <c r="P236" s="10" t="n"/>
    </row>
    <row r="237">
      <c r="A237" s="10" t="n"/>
      <c r="B237" s="11">
        <f>IF(A237="","",TEXT(A237,"yyyy-mm"))</f>
        <v/>
      </c>
      <c r="C237" s="10" t="inlineStr">
        <is>
          <t>USD</t>
        </is>
      </c>
      <c r="D237" s="10" t="n"/>
      <c r="E237" s="11">
        <f>IFERROR(VLOOKUP(D237,Recursos!$A$3:$F$100,2,FALSE),"")</f>
        <v/>
      </c>
      <c r="F237" s="10" t="n"/>
      <c r="G237" s="10" t="n"/>
      <c r="H237" s="14" t="n">
        <v>0</v>
      </c>
      <c r="I237" s="11">
        <f>IF(F237="Labor",IF(C237="USD",IFERROR(VLOOKUP(D237,Recursos!$A$3:$F$100,4,FALSE),""),IFERROR(VLOOKUP(D237,Recursos!$A$3:$F$100,5,FALSE),"")),"")</f>
        <v/>
      </c>
      <c r="J237" s="10" t="n">
        <v>0</v>
      </c>
      <c r="K237" s="11">
        <f>IF(F237="Labor",IF(C237="USD",H237*I237,(H237*I237)/Setup!$B$7),IF(C237="USD",J237,J237/Setup!$B$7))</f>
        <v/>
      </c>
      <c r="L237" s="11">
        <f>K237*Setup!$B$7</f>
        <v/>
      </c>
      <c r="M237" s="10" t="n"/>
      <c r="N237" s="10" t="inlineStr">
        <is>
          <t>S</t>
        </is>
      </c>
      <c r="O237" s="10" t="n"/>
      <c r="P237" s="10" t="n"/>
    </row>
    <row r="238">
      <c r="A238" s="10" t="n"/>
      <c r="B238" s="11">
        <f>IF(A238="","",TEXT(A238,"yyyy-mm"))</f>
        <v/>
      </c>
      <c r="C238" s="10" t="inlineStr">
        <is>
          <t>USD</t>
        </is>
      </c>
      <c r="D238" s="10" t="n"/>
      <c r="E238" s="11">
        <f>IFERROR(VLOOKUP(D238,Recursos!$A$3:$F$100,2,FALSE),"")</f>
        <v/>
      </c>
      <c r="F238" s="10" t="n"/>
      <c r="G238" s="10" t="n"/>
      <c r="H238" s="14" t="n">
        <v>0</v>
      </c>
      <c r="I238" s="11">
        <f>IF(F238="Labor",IF(C238="USD",IFERROR(VLOOKUP(D238,Recursos!$A$3:$F$100,4,FALSE),""),IFERROR(VLOOKUP(D238,Recursos!$A$3:$F$100,5,FALSE),"")),"")</f>
        <v/>
      </c>
      <c r="J238" s="10" t="n">
        <v>0</v>
      </c>
      <c r="K238" s="11">
        <f>IF(F238="Labor",IF(C238="USD",H238*I238,(H238*I238)/Setup!$B$7),IF(C238="USD",J238,J238/Setup!$B$7))</f>
        <v/>
      </c>
      <c r="L238" s="11">
        <f>K238*Setup!$B$7</f>
        <v/>
      </c>
      <c r="M238" s="10" t="n"/>
      <c r="N238" s="10" t="inlineStr">
        <is>
          <t>S</t>
        </is>
      </c>
      <c r="O238" s="10" t="n"/>
      <c r="P238" s="10" t="n"/>
    </row>
    <row r="239">
      <c r="A239" s="10" t="n"/>
      <c r="B239" s="11">
        <f>IF(A239="","",TEXT(A239,"yyyy-mm"))</f>
        <v/>
      </c>
      <c r="C239" s="10" t="inlineStr">
        <is>
          <t>USD</t>
        </is>
      </c>
      <c r="D239" s="10" t="n"/>
      <c r="E239" s="11">
        <f>IFERROR(VLOOKUP(D239,Recursos!$A$3:$F$100,2,FALSE),"")</f>
        <v/>
      </c>
      <c r="F239" s="10" t="n"/>
      <c r="G239" s="10" t="n"/>
      <c r="H239" s="14" t="n">
        <v>0</v>
      </c>
      <c r="I239" s="11">
        <f>IF(F239="Labor",IF(C239="USD",IFERROR(VLOOKUP(D239,Recursos!$A$3:$F$100,4,FALSE),""),IFERROR(VLOOKUP(D239,Recursos!$A$3:$F$100,5,FALSE),"")),"")</f>
        <v/>
      </c>
      <c r="J239" s="10" t="n">
        <v>0</v>
      </c>
      <c r="K239" s="11">
        <f>IF(F239="Labor",IF(C239="USD",H239*I239,(H239*I239)/Setup!$B$7),IF(C239="USD",J239,J239/Setup!$B$7))</f>
        <v/>
      </c>
      <c r="L239" s="11">
        <f>K239*Setup!$B$7</f>
        <v/>
      </c>
      <c r="M239" s="10" t="n"/>
      <c r="N239" s="10" t="inlineStr">
        <is>
          <t>S</t>
        </is>
      </c>
      <c r="O239" s="10" t="n"/>
      <c r="P239" s="10" t="n"/>
    </row>
    <row r="240">
      <c r="A240" s="10" t="n"/>
      <c r="B240" s="11">
        <f>IF(A240="","",TEXT(A240,"yyyy-mm"))</f>
        <v/>
      </c>
      <c r="C240" s="10" t="inlineStr">
        <is>
          <t>USD</t>
        </is>
      </c>
      <c r="D240" s="10" t="n"/>
      <c r="E240" s="11">
        <f>IFERROR(VLOOKUP(D240,Recursos!$A$3:$F$100,2,FALSE),"")</f>
        <v/>
      </c>
      <c r="F240" s="10" t="n"/>
      <c r="G240" s="10" t="n"/>
      <c r="H240" s="14" t="n">
        <v>0</v>
      </c>
      <c r="I240" s="11">
        <f>IF(F240="Labor",IF(C240="USD",IFERROR(VLOOKUP(D240,Recursos!$A$3:$F$100,4,FALSE),""),IFERROR(VLOOKUP(D240,Recursos!$A$3:$F$100,5,FALSE),"")),"")</f>
        <v/>
      </c>
      <c r="J240" s="10" t="n">
        <v>0</v>
      </c>
      <c r="K240" s="11">
        <f>IF(F240="Labor",IF(C240="USD",H240*I240,(H240*I240)/Setup!$B$7),IF(C240="USD",J240,J240/Setup!$B$7))</f>
        <v/>
      </c>
      <c r="L240" s="11">
        <f>K240*Setup!$B$7</f>
        <v/>
      </c>
      <c r="M240" s="10" t="n"/>
      <c r="N240" s="10" t="inlineStr">
        <is>
          <t>S</t>
        </is>
      </c>
      <c r="O240" s="10" t="n"/>
      <c r="P240" s="10" t="n"/>
    </row>
    <row r="241">
      <c r="A241" s="10" t="n"/>
      <c r="B241" s="11">
        <f>IF(A241="","",TEXT(A241,"yyyy-mm"))</f>
        <v/>
      </c>
      <c r="C241" s="10" t="inlineStr">
        <is>
          <t>USD</t>
        </is>
      </c>
      <c r="D241" s="10" t="n"/>
      <c r="E241" s="11">
        <f>IFERROR(VLOOKUP(D241,Recursos!$A$3:$F$100,2,FALSE),"")</f>
        <v/>
      </c>
      <c r="F241" s="10" t="n"/>
      <c r="G241" s="10" t="n"/>
      <c r="H241" s="14" t="n">
        <v>0</v>
      </c>
      <c r="I241" s="11">
        <f>IF(F241="Labor",IF(C241="USD",IFERROR(VLOOKUP(D241,Recursos!$A$3:$F$100,4,FALSE),""),IFERROR(VLOOKUP(D241,Recursos!$A$3:$F$100,5,FALSE),"")),"")</f>
        <v/>
      </c>
      <c r="J241" s="10" t="n">
        <v>0</v>
      </c>
      <c r="K241" s="11">
        <f>IF(F241="Labor",IF(C241="USD",H241*I241,(H241*I241)/Setup!$B$7),IF(C241="USD",J241,J241/Setup!$B$7))</f>
        <v/>
      </c>
      <c r="L241" s="11">
        <f>K241*Setup!$B$7</f>
        <v/>
      </c>
      <c r="M241" s="10" t="n"/>
      <c r="N241" s="10" t="inlineStr">
        <is>
          <t>S</t>
        </is>
      </c>
      <c r="O241" s="10" t="n"/>
      <c r="P241" s="10" t="n"/>
    </row>
    <row r="242">
      <c r="A242" s="10" t="n"/>
      <c r="B242" s="11">
        <f>IF(A242="","",TEXT(A242,"yyyy-mm"))</f>
        <v/>
      </c>
      <c r="C242" s="10" t="inlineStr">
        <is>
          <t>USD</t>
        </is>
      </c>
      <c r="D242" s="10" t="n"/>
      <c r="E242" s="11">
        <f>IFERROR(VLOOKUP(D242,Recursos!$A$3:$F$100,2,FALSE),"")</f>
        <v/>
      </c>
      <c r="F242" s="10" t="n"/>
      <c r="G242" s="10" t="n"/>
      <c r="H242" s="14" t="n">
        <v>0</v>
      </c>
      <c r="I242" s="11">
        <f>IF(F242="Labor",IF(C242="USD",IFERROR(VLOOKUP(D242,Recursos!$A$3:$F$100,4,FALSE),""),IFERROR(VLOOKUP(D242,Recursos!$A$3:$F$100,5,FALSE),"")),"")</f>
        <v/>
      </c>
      <c r="J242" s="10" t="n">
        <v>0</v>
      </c>
      <c r="K242" s="11">
        <f>IF(F242="Labor",IF(C242="USD",H242*I242,(H242*I242)/Setup!$B$7),IF(C242="USD",J242,J242/Setup!$B$7))</f>
        <v/>
      </c>
      <c r="L242" s="11">
        <f>K242*Setup!$B$7</f>
        <v/>
      </c>
      <c r="M242" s="10" t="n"/>
      <c r="N242" s="10" t="inlineStr">
        <is>
          <t>S</t>
        </is>
      </c>
      <c r="O242" s="10" t="n"/>
      <c r="P242" s="10" t="n"/>
    </row>
    <row r="243">
      <c r="A243" s="10" t="n"/>
      <c r="B243" s="11">
        <f>IF(A243="","",TEXT(A243,"yyyy-mm"))</f>
        <v/>
      </c>
      <c r="C243" s="10" t="inlineStr">
        <is>
          <t>USD</t>
        </is>
      </c>
      <c r="D243" s="10" t="n"/>
      <c r="E243" s="11">
        <f>IFERROR(VLOOKUP(D243,Recursos!$A$3:$F$100,2,FALSE),"")</f>
        <v/>
      </c>
      <c r="F243" s="10" t="n"/>
      <c r="G243" s="10" t="n"/>
      <c r="H243" s="14" t="n">
        <v>0</v>
      </c>
      <c r="I243" s="11">
        <f>IF(F243="Labor",IF(C243="USD",IFERROR(VLOOKUP(D243,Recursos!$A$3:$F$100,4,FALSE),""),IFERROR(VLOOKUP(D243,Recursos!$A$3:$F$100,5,FALSE),"")),"")</f>
        <v/>
      </c>
      <c r="J243" s="10" t="n">
        <v>0</v>
      </c>
      <c r="K243" s="11">
        <f>IF(F243="Labor",IF(C243="USD",H243*I243,(H243*I243)/Setup!$B$7),IF(C243="USD",J243,J243/Setup!$B$7))</f>
        <v/>
      </c>
      <c r="L243" s="11">
        <f>K243*Setup!$B$7</f>
        <v/>
      </c>
      <c r="M243" s="10" t="n"/>
      <c r="N243" s="10" t="inlineStr">
        <is>
          <t>S</t>
        </is>
      </c>
      <c r="O243" s="10" t="n"/>
      <c r="P243" s="10" t="n"/>
    </row>
    <row r="244">
      <c r="A244" s="10" t="n"/>
      <c r="B244" s="11">
        <f>IF(A244="","",TEXT(A244,"yyyy-mm"))</f>
        <v/>
      </c>
      <c r="C244" s="10" t="inlineStr">
        <is>
          <t>USD</t>
        </is>
      </c>
      <c r="D244" s="10" t="n"/>
      <c r="E244" s="11">
        <f>IFERROR(VLOOKUP(D244,Recursos!$A$3:$F$100,2,FALSE),"")</f>
        <v/>
      </c>
      <c r="F244" s="10" t="n"/>
      <c r="G244" s="10" t="n"/>
      <c r="H244" s="14" t="n">
        <v>0</v>
      </c>
      <c r="I244" s="11">
        <f>IF(F244="Labor",IF(C244="USD",IFERROR(VLOOKUP(D244,Recursos!$A$3:$F$100,4,FALSE),""),IFERROR(VLOOKUP(D244,Recursos!$A$3:$F$100,5,FALSE),"")),"")</f>
        <v/>
      </c>
      <c r="J244" s="10" t="n">
        <v>0</v>
      </c>
      <c r="K244" s="11">
        <f>IF(F244="Labor",IF(C244="USD",H244*I244,(H244*I244)/Setup!$B$7),IF(C244="USD",J244,J244/Setup!$B$7))</f>
        <v/>
      </c>
      <c r="L244" s="11">
        <f>K244*Setup!$B$7</f>
        <v/>
      </c>
      <c r="M244" s="10" t="n"/>
      <c r="N244" s="10" t="inlineStr">
        <is>
          <t>S</t>
        </is>
      </c>
      <c r="O244" s="10" t="n"/>
      <c r="P244" s="10" t="n"/>
    </row>
    <row r="245">
      <c r="A245" s="10" t="n"/>
      <c r="B245" s="11">
        <f>IF(A245="","",TEXT(A245,"yyyy-mm"))</f>
        <v/>
      </c>
      <c r="C245" s="10" t="inlineStr">
        <is>
          <t>USD</t>
        </is>
      </c>
      <c r="D245" s="10" t="n"/>
      <c r="E245" s="11">
        <f>IFERROR(VLOOKUP(D245,Recursos!$A$3:$F$100,2,FALSE),"")</f>
        <v/>
      </c>
      <c r="F245" s="10" t="n"/>
      <c r="G245" s="10" t="n"/>
      <c r="H245" s="14" t="n">
        <v>0</v>
      </c>
      <c r="I245" s="11">
        <f>IF(F245="Labor",IF(C245="USD",IFERROR(VLOOKUP(D245,Recursos!$A$3:$F$100,4,FALSE),""),IFERROR(VLOOKUP(D245,Recursos!$A$3:$F$100,5,FALSE),"")),"")</f>
        <v/>
      </c>
      <c r="J245" s="10" t="n">
        <v>0</v>
      </c>
      <c r="K245" s="11">
        <f>IF(F245="Labor",IF(C245="USD",H245*I245,(H245*I245)/Setup!$B$7),IF(C245="USD",J245,J245/Setup!$B$7))</f>
        <v/>
      </c>
      <c r="L245" s="11">
        <f>K245*Setup!$B$7</f>
        <v/>
      </c>
      <c r="M245" s="10" t="n"/>
      <c r="N245" s="10" t="inlineStr">
        <is>
          <t>S</t>
        </is>
      </c>
      <c r="O245" s="10" t="n"/>
      <c r="P245" s="10" t="n"/>
    </row>
    <row r="246">
      <c r="A246" s="10" t="n"/>
      <c r="B246" s="11">
        <f>IF(A246="","",TEXT(A246,"yyyy-mm"))</f>
        <v/>
      </c>
      <c r="C246" s="10" t="inlineStr">
        <is>
          <t>USD</t>
        </is>
      </c>
      <c r="D246" s="10" t="n"/>
      <c r="E246" s="11">
        <f>IFERROR(VLOOKUP(D246,Recursos!$A$3:$F$100,2,FALSE),"")</f>
        <v/>
      </c>
      <c r="F246" s="10" t="n"/>
      <c r="G246" s="10" t="n"/>
      <c r="H246" s="14" t="n">
        <v>0</v>
      </c>
      <c r="I246" s="11">
        <f>IF(F246="Labor",IF(C246="USD",IFERROR(VLOOKUP(D246,Recursos!$A$3:$F$100,4,FALSE),""),IFERROR(VLOOKUP(D246,Recursos!$A$3:$F$100,5,FALSE),"")),"")</f>
        <v/>
      </c>
      <c r="J246" s="10" t="n">
        <v>0</v>
      </c>
      <c r="K246" s="11">
        <f>IF(F246="Labor",IF(C246="USD",H246*I246,(H246*I246)/Setup!$B$7),IF(C246="USD",J246,J246/Setup!$B$7))</f>
        <v/>
      </c>
      <c r="L246" s="11">
        <f>K246*Setup!$B$7</f>
        <v/>
      </c>
      <c r="M246" s="10" t="n"/>
      <c r="N246" s="10" t="inlineStr">
        <is>
          <t>S</t>
        </is>
      </c>
      <c r="O246" s="10" t="n"/>
      <c r="P246" s="10" t="n"/>
    </row>
    <row r="247">
      <c r="A247" s="10" t="n"/>
      <c r="B247" s="11">
        <f>IF(A247="","",TEXT(A247,"yyyy-mm"))</f>
        <v/>
      </c>
      <c r="C247" s="10" t="inlineStr">
        <is>
          <t>USD</t>
        </is>
      </c>
      <c r="D247" s="10" t="n"/>
      <c r="E247" s="11">
        <f>IFERROR(VLOOKUP(D247,Recursos!$A$3:$F$100,2,FALSE),"")</f>
        <v/>
      </c>
      <c r="F247" s="10" t="n"/>
      <c r="G247" s="10" t="n"/>
      <c r="H247" s="14" t="n">
        <v>0</v>
      </c>
      <c r="I247" s="11">
        <f>IF(F247="Labor",IF(C247="USD",IFERROR(VLOOKUP(D247,Recursos!$A$3:$F$100,4,FALSE),""),IFERROR(VLOOKUP(D247,Recursos!$A$3:$F$100,5,FALSE),"")),"")</f>
        <v/>
      </c>
      <c r="J247" s="10" t="n">
        <v>0</v>
      </c>
      <c r="K247" s="11">
        <f>IF(F247="Labor",IF(C247="USD",H247*I247,(H247*I247)/Setup!$B$7),IF(C247="USD",J247,J247/Setup!$B$7))</f>
        <v/>
      </c>
      <c r="L247" s="11">
        <f>K247*Setup!$B$7</f>
        <v/>
      </c>
      <c r="M247" s="10" t="n"/>
      <c r="N247" s="10" t="inlineStr">
        <is>
          <t>S</t>
        </is>
      </c>
      <c r="O247" s="10" t="n"/>
      <c r="P247" s="10" t="n"/>
    </row>
    <row r="248">
      <c r="A248" s="10" t="n"/>
      <c r="B248" s="11">
        <f>IF(A248="","",TEXT(A248,"yyyy-mm"))</f>
        <v/>
      </c>
      <c r="C248" s="10" t="inlineStr">
        <is>
          <t>USD</t>
        </is>
      </c>
      <c r="D248" s="10" t="n"/>
      <c r="E248" s="11">
        <f>IFERROR(VLOOKUP(D248,Recursos!$A$3:$F$100,2,FALSE),"")</f>
        <v/>
      </c>
      <c r="F248" s="10" t="n"/>
      <c r="G248" s="10" t="n"/>
      <c r="H248" s="14" t="n">
        <v>0</v>
      </c>
      <c r="I248" s="11">
        <f>IF(F248="Labor",IF(C248="USD",IFERROR(VLOOKUP(D248,Recursos!$A$3:$F$100,4,FALSE),""),IFERROR(VLOOKUP(D248,Recursos!$A$3:$F$100,5,FALSE),"")),"")</f>
        <v/>
      </c>
      <c r="J248" s="10" t="n">
        <v>0</v>
      </c>
      <c r="K248" s="11">
        <f>IF(F248="Labor",IF(C248="USD",H248*I248,(H248*I248)/Setup!$B$7),IF(C248="USD",J248,J248/Setup!$B$7))</f>
        <v/>
      </c>
      <c r="L248" s="11">
        <f>K248*Setup!$B$7</f>
        <v/>
      </c>
      <c r="M248" s="10" t="n"/>
      <c r="N248" s="10" t="inlineStr">
        <is>
          <t>S</t>
        </is>
      </c>
      <c r="O248" s="10" t="n"/>
      <c r="P248" s="10" t="n"/>
    </row>
    <row r="249">
      <c r="A249" s="10" t="n"/>
      <c r="B249" s="11">
        <f>IF(A249="","",TEXT(A249,"yyyy-mm"))</f>
        <v/>
      </c>
      <c r="C249" s="10" t="inlineStr">
        <is>
          <t>USD</t>
        </is>
      </c>
      <c r="D249" s="10" t="n"/>
      <c r="E249" s="11">
        <f>IFERROR(VLOOKUP(D249,Recursos!$A$3:$F$100,2,FALSE),"")</f>
        <v/>
      </c>
      <c r="F249" s="10" t="n"/>
      <c r="G249" s="10" t="n"/>
      <c r="H249" s="14" t="n">
        <v>0</v>
      </c>
      <c r="I249" s="11">
        <f>IF(F249="Labor",IF(C249="USD",IFERROR(VLOOKUP(D249,Recursos!$A$3:$F$100,4,FALSE),""),IFERROR(VLOOKUP(D249,Recursos!$A$3:$F$100,5,FALSE),"")),"")</f>
        <v/>
      </c>
      <c r="J249" s="10" t="n">
        <v>0</v>
      </c>
      <c r="K249" s="11">
        <f>IF(F249="Labor",IF(C249="USD",H249*I249,(H249*I249)/Setup!$B$7),IF(C249="USD",J249,J249/Setup!$B$7))</f>
        <v/>
      </c>
      <c r="L249" s="11">
        <f>K249*Setup!$B$7</f>
        <v/>
      </c>
      <c r="M249" s="10" t="n"/>
      <c r="N249" s="10" t="inlineStr">
        <is>
          <t>S</t>
        </is>
      </c>
      <c r="O249" s="10" t="n"/>
      <c r="P249" s="10" t="n"/>
    </row>
    <row r="250">
      <c r="A250" s="10" t="n"/>
      <c r="B250" s="11">
        <f>IF(A250="","",TEXT(A250,"yyyy-mm"))</f>
        <v/>
      </c>
      <c r="C250" s="10" t="inlineStr">
        <is>
          <t>USD</t>
        </is>
      </c>
      <c r="D250" s="10" t="n"/>
      <c r="E250" s="11">
        <f>IFERROR(VLOOKUP(D250,Recursos!$A$3:$F$100,2,FALSE),"")</f>
        <v/>
      </c>
      <c r="F250" s="10" t="n"/>
      <c r="G250" s="10" t="n"/>
      <c r="H250" s="14" t="n">
        <v>0</v>
      </c>
      <c r="I250" s="11">
        <f>IF(F250="Labor",IF(C250="USD",IFERROR(VLOOKUP(D250,Recursos!$A$3:$F$100,4,FALSE),""),IFERROR(VLOOKUP(D250,Recursos!$A$3:$F$100,5,FALSE),"")),"")</f>
        <v/>
      </c>
      <c r="J250" s="10" t="n">
        <v>0</v>
      </c>
      <c r="K250" s="11">
        <f>IF(F250="Labor",IF(C250="USD",H250*I250,(H250*I250)/Setup!$B$7),IF(C250="USD",J250,J250/Setup!$B$7))</f>
        <v/>
      </c>
      <c r="L250" s="11">
        <f>K250*Setup!$B$7</f>
        <v/>
      </c>
      <c r="M250" s="10" t="n"/>
      <c r="N250" s="10" t="inlineStr">
        <is>
          <t>S</t>
        </is>
      </c>
      <c r="O250" s="10" t="n"/>
      <c r="P250" s="10" t="n"/>
    </row>
    <row r="251">
      <c r="A251" s="10" t="n"/>
      <c r="B251" s="11">
        <f>IF(A251="","",TEXT(A251,"yyyy-mm"))</f>
        <v/>
      </c>
      <c r="C251" s="10" t="inlineStr">
        <is>
          <t>USD</t>
        </is>
      </c>
      <c r="D251" s="10" t="n"/>
      <c r="E251" s="11">
        <f>IFERROR(VLOOKUP(D251,Recursos!$A$3:$F$100,2,FALSE),"")</f>
        <v/>
      </c>
      <c r="F251" s="10" t="n"/>
      <c r="G251" s="10" t="n"/>
      <c r="H251" s="14" t="n">
        <v>0</v>
      </c>
      <c r="I251" s="11">
        <f>IF(F251="Labor",IF(C251="USD",IFERROR(VLOOKUP(D251,Recursos!$A$3:$F$100,4,FALSE),""),IFERROR(VLOOKUP(D251,Recursos!$A$3:$F$100,5,FALSE),"")),"")</f>
        <v/>
      </c>
      <c r="J251" s="10" t="n">
        <v>0</v>
      </c>
      <c r="K251" s="11">
        <f>IF(F251="Labor",IF(C251="USD",H251*I251,(H251*I251)/Setup!$B$7),IF(C251="USD",J251,J251/Setup!$B$7))</f>
        <v/>
      </c>
      <c r="L251" s="11">
        <f>K251*Setup!$B$7</f>
        <v/>
      </c>
      <c r="M251" s="10" t="n"/>
      <c r="N251" s="10" t="inlineStr">
        <is>
          <t>S</t>
        </is>
      </c>
      <c r="O251" s="10" t="n"/>
      <c r="P251" s="10" t="n"/>
    </row>
    <row r="252">
      <c r="A252" s="10" t="n"/>
      <c r="B252" s="11">
        <f>IF(A252="","",TEXT(A252,"yyyy-mm"))</f>
        <v/>
      </c>
      <c r="C252" s="10" t="inlineStr">
        <is>
          <t>USD</t>
        </is>
      </c>
      <c r="D252" s="10" t="n"/>
      <c r="E252" s="11">
        <f>IFERROR(VLOOKUP(D252,Recursos!$A$3:$F$100,2,FALSE),"")</f>
        <v/>
      </c>
      <c r="F252" s="10" t="n"/>
      <c r="G252" s="10" t="n"/>
      <c r="H252" s="14" t="n">
        <v>0</v>
      </c>
      <c r="I252" s="11">
        <f>IF(F252="Labor",IF(C252="USD",IFERROR(VLOOKUP(D252,Recursos!$A$3:$F$100,4,FALSE),""),IFERROR(VLOOKUP(D252,Recursos!$A$3:$F$100,5,FALSE),"")),"")</f>
        <v/>
      </c>
      <c r="J252" s="10" t="n">
        <v>0</v>
      </c>
      <c r="K252" s="11">
        <f>IF(F252="Labor",IF(C252="USD",H252*I252,(H252*I252)/Setup!$B$7),IF(C252="USD",J252,J252/Setup!$B$7))</f>
        <v/>
      </c>
      <c r="L252" s="11">
        <f>K252*Setup!$B$7</f>
        <v/>
      </c>
      <c r="M252" s="10" t="n"/>
      <c r="N252" s="10" t="inlineStr">
        <is>
          <t>S</t>
        </is>
      </c>
      <c r="O252" s="10" t="n"/>
      <c r="P252" s="10" t="n"/>
    </row>
    <row r="253">
      <c r="A253" s="10" t="n"/>
      <c r="B253" s="11">
        <f>IF(A253="","",TEXT(A253,"yyyy-mm"))</f>
        <v/>
      </c>
      <c r="C253" s="10" t="inlineStr">
        <is>
          <t>USD</t>
        </is>
      </c>
      <c r="D253" s="10" t="n"/>
      <c r="E253" s="11">
        <f>IFERROR(VLOOKUP(D253,Recursos!$A$3:$F$100,2,FALSE),"")</f>
        <v/>
      </c>
      <c r="F253" s="10" t="n"/>
      <c r="G253" s="10" t="n"/>
      <c r="H253" s="14" t="n">
        <v>0</v>
      </c>
      <c r="I253" s="11">
        <f>IF(F253="Labor",IF(C253="USD",IFERROR(VLOOKUP(D253,Recursos!$A$3:$F$100,4,FALSE),""),IFERROR(VLOOKUP(D253,Recursos!$A$3:$F$100,5,FALSE),"")),"")</f>
        <v/>
      </c>
      <c r="J253" s="10" t="n">
        <v>0</v>
      </c>
      <c r="K253" s="11">
        <f>IF(F253="Labor",IF(C253="USD",H253*I253,(H253*I253)/Setup!$B$7),IF(C253="USD",J253,J253/Setup!$B$7))</f>
        <v/>
      </c>
      <c r="L253" s="11">
        <f>K253*Setup!$B$7</f>
        <v/>
      </c>
      <c r="M253" s="10" t="n"/>
      <c r="N253" s="10" t="inlineStr">
        <is>
          <t>S</t>
        </is>
      </c>
      <c r="O253" s="10" t="n"/>
      <c r="P253" s="10" t="n"/>
    </row>
    <row r="254">
      <c r="A254" s="10" t="n"/>
      <c r="B254" s="11">
        <f>IF(A254="","",TEXT(A254,"yyyy-mm"))</f>
        <v/>
      </c>
      <c r="C254" s="10" t="inlineStr">
        <is>
          <t>USD</t>
        </is>
      </c>
      <c r="D254" s="10" t="n"/>
      <c r="E254" s="11">
        <f>IFERROR(VLOOKUP(D254,Recursos!$A$3:$F$100,2,FALSE),"")</f>
        <v/>
      </c>
      <c r="F254" s="10" t="n"/>
      <c r="G254" s="10" t="n"/>
      <c r="H254" s="14" t="n">
        <v>0</v>
      </c>
      <c r="I254" s="11">
        <f>IF(F254="Labor",IF(C254="USD",IFERROR(VLOOKUP(D254,Recursos!$A$3:$F$100,4,FALSE),""),IFERROR(VLOOKUP(D254,Recursos!$A$3:$F$100,5,FALSE),"")),"")</f>
        <v/>
      </c>
      <c r="J254" s="10" t="n">
        <v>0</v>
      </c>
      <c r="K254" s="11">
        <f>IF(F254="Labor",IF(C254="USD",H254*I254,(H254*I254)/Setup!$B$7),IF(C254="USD",J254,J254/Setup!$B$7))</f>
        <v/>
      </c>
      <c r="L254" s="11">
        <f>K254*Setup!$B$7</f>
        <v/>
      </c>
      <c r="M254" s="10" t="n"/>
      <c r="N254" s="10" t="inlineStr">
        <is>
          <t>S</t>
        </is>
      </c>
      <c r="O254" s="10" t="n"/>
      <c r="P254" s="10" t="n"/>
    </row>
    <row r="255">
      <c r="A255" s="10" t="n"/>
      <c r="B255" s="11">
        <f>IF(A255="","",TEXT(A255,"yyyy-mm"))</f>
        <v/>
      </c>
      <c r="C255" s="10" t="inlineStr">
        <is>
          <t>USD</t>
        </is>
      </c>
      <c r="D255" s="10" t="n"/>
      <c r="E255" s="11">
        <f>IFERROR(VLOOKUP(D255,Recursos!$A$3:$F$100,2,FALSE),"")</f>
        <v/>
      </c>
      <c r="F255" s="10" t="n"/>
      <c r="G255" s="10" t="n"/>
      <c r="H255" s="14" t="n">
        <v>0</v>
      </c>
      <c r="I255" s="11">
        <f>IF(F255="Labor",IF(C255="USD",IFERROR(VLOOKUP(D255,Recursos!$A$3:$F$100,4,FALSE),""),IFERROR(VLOOKUP(D255,Recursos!$A$3:$F$100,5,FALSE),"")),"")</f>
        <v/>
      </c>
      <c r="J255" s="10" t="n">
        <v>0</v>
      </c>
      <c r="K255" s="11">
        <f>IF(F255="Labor",IF(C255="USD",H255*I255,(H255*I255)/Setup!$B$7),IF(C255="USD",J255,J255/Setup!$B$7))</f>
        <v/>
      </c>
      <c r="L255" s="11">
        <f>K255*Setup!$B$7</f>
        <v/>
      </c>
      <c r="M255" s="10" t="n"/>
      <c r="N255" s="10" t="inlineStr">
        <is>
          <t>S</t>
        </is>
      </c>
      <c r="O255" s="10" t="n"/>
      <c r="P255" s="10" t="n"/>
    </row>
    <row r="256">
      <c r="A256" s="10" t="n"/>
      <c r="B256" s="11">
        <f>IF(A256="","",TEXT(A256,"yyyy-mm"))</f>
        <v/>
      </c>
      <c r="C256" s="10" t="inlineStr">
        <is>
          <t>USD</t>
        </is>
      </c>
      <c r="D256" s="10" t="n"/>
      <c r="E256" s="11">
        <f>IFERROR(VLOOKUP(D256,Recursos!$A$3:$F$100,2,FALSE),"")</f>
        <v/>
      </c>
      <c r="F256" s="10" t="n"/>
      <c r="G256" s="10" t="n"/>
      <c r="H256" s="14" t="n">
        <v>0</v>
      </c>
      <c r="I256" s="11">
        <f>IF(F256="Labor",IF(C256="USD",IFERROR(VLOOKUP(D256,Recursos!$A$3:$F$100,4,FALSE),""),IFERROR(VLOOKUP(D256,Recursos!$A$3:$F$100,5,FALSE),"")),"")</f>
        <v/>
      </c>
      <c r="J256" s="10" t="n">
        <v>0</v>
      </c>
      <c r="K256" s="11">
        <f>IF(F256="Labor",IF(C256="USD",H256*I256,(H256*I256)/Setup!$B$7),IF(C256="USD",J256,J256/Setup!$B$7))</f>
        <v/>
      </c>
      <c r="L256" s="11">
        <f>K256*Setup!$B$7</f>
        <v/>
      </c>
      <c r="M256" s="10" t="n"/>
      <c r="N256" s="10" t="inlineStr">
        <is>
          <t>S</t>
        </is>
      </c>
      <c r="O256" s="10" t="n"/>
      <c r="P256" s="10" t="n"/>
    </row>
    <row r="257">
      <c r="A257" s="10" t="n"/>
      <c r="B257" s="11">
        <f>IF(A257="","",TEXT(A257,"yyyy-mm"))</f>
        <v/>
      </c>
      <c r="C257" s="10" t="inlineStr">
        <is>
          <t>USD</t>
        </is>
      </c>
      <c r="D257" s="10" t="n"/>
      <c r="E257" s="11">
        <f>IFERROR(VLOOKUP(D257,Recursos!$A$3:$F$100,2,FALSE),"")</f>
        <v/>
      </c>
      <c r="F257" s="10" t="n"/>
      <c r="G257" s="10" t="n"/>
      <c r="H257" s="14" t="n">
        <v>0</v>
      </c>
      <c r="I257" s="11">
        <f>IF(F257="Labor",IF(C257="USD",IFERROR(VLOOKUP(D257,Recursos!$A$3:$F$100,4,FALSE),""),IFERROR(VLOOKUP(D257,Recursos!$A$3:$F$100,5,FALSE),"")),"")</f>
        <v/>
      </c>
      <c r="J257" s="10" t="n">
        <v>0</v>
      </c>
      <c r="K257" s="11">
        <f>IF(F257="Labor",IF(C257="USD",H257*I257,(H257*I257)/Setup!$B$7),IF(C257="USD",J257,J257/Setup!$B$7))</f>
        <v/>
      </c>
      <c r="L257" s="11">
        <f>K257*Setup!$B$7</f>
        <v/>
      </c>
      <c r="M257" s="10" t="n"/>
      <c r="N257" s="10" t="inlineStr">
        <is>
          <t>S</t>
        </is>
      </c>
      <c r="O257" s="10" t="n"/>
      <c r="P257" s="10" t="n"/>
    </row>
    <row r="258">
      <c r="A258" s="10" t="n"/>
      <c r="B258" s="11">
        <f>IF(A258="","",TEXT(A258,"yyyy-mm"))</f>
        <v/>
      </c>
      <c r="C258" s="10" t="inlineStr">
        <is>
          <t>USD</t>
        </is>
      </c>
      <c r="D258" s="10" t="n"/>
      <c r="E258" s="11">
        <f>IFERROR(VLOOKUP(D258,Recursos!$A$3:$F$100,2,FALSE),"")</f>
        <v/>
      </c>
      <c r="F258" s="10" t="n"/>
      <c r="G258" s="10" t="n"/>
      <c r="H258" s="14" t="n">
        <v>0</v>
      </c>
      <c r="I258" s="11">
        <f>IF(F258="Labor",IF(C258="USD",IFERROR(VLOOKUP(D258,Recursos!$A$3:$F$100,4,FALSE),""),IFERROR(VLOOKUP(D258,Recursos!$A$3:$F$100,5,FALSE),"")),"")</f>
        <v/>
      </c>
      <c r="J258" s="10" t="n">
        <v>0</v>
      </c>
      <c r="K258" s="11">
        <f>IF(F258="Labor",IF(C258="USD",H258*I258,(H258*I258)/Setup!$B$7),IF(C258="USD",J258,J258/Setup!$B$7))</f>
        <v/>
      </c>
      <c r="L258" s="11">
        <f>K258*Setup!$B$7</f>
        <v/>
      </c>
      <c r="M258" s="10" t="n"/>
      <c r="N258" s="10" t="inlineStr">
        <is>
          <t>S</t>
        </is>
      </c>
      <c r="O258" s="10" t="n"/>
      <c r="P258" s="10" t="n"/>
    </row>
    <row r="259">
      <c r="A259" s="10" t="n"/>
      <c r="B259" s="11">
        <f>IF(A259="","",TEXT(A259,"yyyy-mm"))</f>
        <v/>
      </c>
      <c r="C259" s="10" t="inlineStr">
        <is>
          <t>USD</t>
        </is>
      </c>
      <c r="D259" s="10" t="n"/>
      <c r="E259" s="11">
        <f>IFERROR(VLOOKUP(D259,Recursos!$A$3:$F$100,2,FALSE),"")</f>
        <v/>
      </c>
      <c r="F259" s="10" t="n"/>
      <c r="G259" s="10" t="n"/>
      <c r="H259" s="14" t="n">
        <v>0</v>
      </c>
      <c r="I259" s="11">
        <f>IF(F259="Labor",IF(C259="USD",IFERROR(VLOOKUP(D259,Recursos!$A$3:$F$100,4,FALSE),""),IFERROR(VLOOKUP(D259,Recursos!$A$3:$F$100,5,FALSE),"")),"")</f>
        <v/>
      </c>
      <c r="J259" s="10" t="n">
        <v>0</v>
      </c>
      <c r="K259" s="11">
        <f>IF(F259="Labor",IF(C259="USD",H259*I259,(H259*I259)/Setup!$B$7),IF(C259="USD",J259,J259/Setup!$B$7))</f>
        <v/>
      </c>
      <c r="L259" s="11">
        <f>K259*Setup!$B$7</f>
        <v/>
      </c>
      <c r="M259" s="10" t="n"/>
      <c r="N259" s="10" t="inlineStr">
        <is>
          <t>S</t>
        </is>
      </c>
      <c r="O259" s="10" t="n"/>
      <c r="P259" s="10" t="n"/>
    </row>
    <row r="260">
      <c r="A260" s="10" t="n"/>
      <c r="B260" s="11">
        <f>IF(A260="","",TEXT(A260,"yyyy-mm"))</f>
        <v/>
      </c>
      <c r="C260" s="10" t="inlineStr">
        <is>
          <t>USD</t>
        </is>
      </c>
      <c r="D260" s="10" t="n"/>
      <c r="E260" s="11">
        <f>IFERROR(VLOOKUP(D260,Recursos!$A$3:$F$100,2,FALSE),"")</f>
        <v/>
      </c>
      <c r="F260" s="10" t="n"/>
      <c r="G260" s="10" t="n"/>
      <c r="H260" s="14" t="n">
        <v>0</v>
      </c>
      <c r="I260" s="11">
        <f>IF(F260="Labor",IF(C260="USD",IFERROR(VLOOKUP(D260,Recursos!$A$3:$F$100,4,FALSE),""),IFERROR(VLOOKUP(D260,Recursos!$A$3:$F$100,5,FALSE),"")),"")</f>
        <v/>
      </c>
      <c r="J260" s="10" t="n">
        <v>0</v>
      </c>
      <c r="K260" s="11">
        <f>IF(F260="Labor",IF(C260="USD",H260*I260,(H260*I260)/Setup!$B$7),IF(C260="USD",J260,J260/Setup!$B$7))</f>
        <v/>
      </c>
      <c r="L260" s="11">
        <f>K260*Setup!$B$7</f>
        <v/>
      </c>
      <c r="M260" s="10" t="n"/>
      <c r="N260" s="10" t="inlineStr">
        <is>
          <t>S</t>
        </is>
      </c>
      <c r="O260" s="10" t="n"/>
      <c r="P260" s="10" t="n"/>
    </row>
    <row r="261">
      <c r="A261" s="10" t="n"/>
      <c r="B261" s="11">
        <f>IF(A261="","",TEXT(A261,"yyyy-mm"))</f>
        <v/>
      </c>
      <c r="C261" s="10" t="inlineStr">
        <is>
          <t>USD</t>
        </is>
      </c>
      <c r="D261" s="10" t="n"/>
      <c r="E261" s="11">
        <f>IFERROR(VLOOKUP(D261,Recursos!$A$3:$F$100,2,FALSE),"")</f>
        <v/>
      </c>
      <c r="F261" s="10" t="n"/>
      <c r="G261" s="10" t="n"/>
      <c r="H261" s="14" t="n">
        <v>0</v>
      </c>
      <c r="I261" s="11">
        <f>IF(F261="Labor",IF(C261="USD",IFERROR(VLOOKUP(D261,Recursos!$A$3:$F$100,4,FALSE),""),IFERROR(VLOOKUP(D261,Recursos!$A$3:$F$100,5,FALSE),"")),"")</f>
        <v/>
      </c>
      <c r="J261" s="10" t="n">
        <v>0</v>
      </c>
      <c r="K261" s="11">
        <f>IF(F261="Labor",IF(C261="USD",H261*I261,(H261*I261)/Setup!$B$7),IF(C261="USD",J261,J261/Setup!$B$7))</f>
        <v/>
      </c>
      <c r="L261" s="11">
        <f>K261*Setup!$B$7</f>
        <v/>
      </c>
      <c r="M261" s="10" t="n"/>
      <c r="N261" s="10" t="inlineStr">
        <is>
          <t>S</t>
        </is>
      </c>
      <c r="O261" s="10" t="n"/>
      <c r="P261" s="10" t="n"/>
    </row>
    <row r="262">
      <c r="A262" s="10" t="n"/>
      <c r="B262" s="11">
        <f>IF(A262="","",TEXT(A262,"yyyy-mm"))</f>
        <v/>
      </c>
      <c r="C262" s="10" t="inlineStr">
        <is>
          <t>USD</t>
        </is>
      </c>
      <c r="D262" s="10" t="n"/>
      <c r="E262" s="11">
        <f>IFERROR(VLOOKUP(D262,Recursos!$A$3:$F$100,2,FALSE),"")</f>
        <v/>
      </c>
      <c r="F262" s="10" t="n"/>
      <c r="G262" s="10" t="n"/>
      <c r="H262" s="14" t="n">
        <v>0</v>
      </c>
      <c r="I262" s="11">
        <f>IF(F262="Labor",IF(C262="USD",IFERROR(VLOOKUP(D262,Recursos!$A$3:$F$100,4,FALSE),""),IFERROR(VLOOKUP(D262,Recursos!$A$3:$F$100,5,FALSE),"")),"")</f>
        <v/>
      </c>
      <c r="J262" s="10" t="n">
        <v>0</v>
      </c>
      <c r="K262" s="11">
        <f>IF(F262="Labor",IF(C262="USD",H262*I262,(H262*I262)/Setup!$B$7),IF(C262="USD",J262,J262/Setup!$B$7))</f>
        <v/>
      </c>
      <c r="L262" s="11">
        <f>K262*Setup!$B$7</f>
        <v/>
      </c>
      <c r="M262" s="10" t="n"/>
      <c r="N262" s="10" t="inlineStr">
        <is>
          <t>S</t>
        </is>
      </c>
      <c r="O262" s="10" t="n"/>
      <c r="P262" s="10" t="n"/>
    </row>
    <row r="263">
      <c r="A263" s="10" t="n"/>
      <c r="B263" s="11">
        <f>IF(A263="","",TEXT(A263,"yyyy-mm"))</f>
        <v/>
      </c>
      <c r="C263" s="10" t="inlineStr">
        <is>
          <t>USD</t>
        </is>
      </c>
      <c r="D263" s="10" t="n"/>
      <c r="E263" s="11">
        <f>IFERROR(VLOOKUP(D263,Recursos!$A$3:$F$100,2,FALSE),"")</f>
        <v/>
      </c>
      <c r="F263" s="10" t="n"/>
      <c r="G263" s="10" t="n"/>
      <c r="H263" s="14" t="n">
        <v>0</v>
      </c>
      <c r="I263" s="11">
        <f>IF(F263="Labor",IF(C263="USD",IFERROR(VLOOKUP(D263,Recursos!$A$3:$F$100,4,FALSE),""),IFERROR(VLOOKUP(D263,Recursos!$A$3:$F$100,5,FALSE),"")),"")</f>
        <v/>
      </c>
      <c r="J263" s="10" t="n">
        <v>0</v>
      </c>
      <c r="K263" s="11">
        <f>IF(F263="Labor",IF(C263="USD",H263*I263,(H263*I263)/Setup!$B$7),IF(C263="USD",J263,J263/Setup!$B$7))</f>
        <v/>
      </c>
      <c r="L263" s="11">
        <f>K263*Setup!$B$7</f>
        <v/>
      </c>
      <c r="M263" s="10" t="n"/>
      <c r="N263" s="10" t="inlineStr">
        <is>
          <t>S</t>
        </is>
      </c>
      <c r="O263" s="10" t="n"/>
      <c r="P263" s="10" t="n"/>
    </row>
    <row r="264">
      <c r="A264" s="10" t="n"/>
      <c r="B264" s="11">
        <f>IF(A264="","",TEXT(A264,"yyyy-mm"))</f>
        <v/>
      </c>
      <c r="C264" s="10" t="inlineStr">
        <is>
          <t>USD</t>
        </is>
      </c>
      <c r="D264" s="10" t="n"/>
      <c r="E264" s="11">
        <f>IFERROR(VLOOKUP(D264,Recursos!$A$3:$F$100,2,FALSE),"")</f>
        <v/>
      </c>
      <c r="F264" s="10" t="n"/>
      <c r="G264" s="10" t="n"/>
      <c r="H264" s="14" t="n">
        <v>0</v>
      </c>
      <c r="I264" s="11">
        <f>IF(F264="Labor",IF(C264="USD",IFERROR(VLOOKUP(D264,Recursos!$A$3:$F$100,4,FALSE),""),IFERROR(VLOOKUP(D264,Recursos!$A$3:$F$100,5,FALSE),"")),"")</f>
        <v/>
      </c>
      <c r="J264" s="10" t="n">
        <v>0</v>
      </c>
      <c r="K264" s="11">
        <f>IF(F264="Labor",IF(C264="USD",H264*I264,(H264*I264)/Setup!$B$7),IF(C264="USD",J264,J264/Setup!$B$7))</f>
        <v/>
      </c>
      <c r="L264" s="11">
        <f>K264*Setup!$B$7</f>
        <v/>
      </c>
      <c r="M264" s="10" t="n"/>
      <c r="N264" s="10" t="inlineStr">
        <is>
          <t>S</t>
        </is>
      </c>
      <c r="O264" s="10" t="n"/>
      <c r="P264" s="10" t="n"/>
    </row>
    <row r="265">
      <c r="A265" s="10" t="n"/>
      <c r="B265" s="11">
        <f>IF(A265="","",TEXT(A265,"yyyy-mm"))</f>
        <v/>
      </c>
      <c r="C265" s="10" t="inlineStr">
        <is>
          <t>USD</t>
        </is>
      </c>
      <c r="D265" s="10" t="n"/>
      <c r="E265" s="11">
        <f>IFERROR(VLOOKUP(D265,Recursos!$A$3:$F$100,2,FALSE),"")</f>
        <v/>
      </c>
      <c r="F265" s="10" t="n"/>
      <c r="G265" s="10" t="n"/>
      <c r="H265" s="14" t="n">
        <v>0</v>
      </c>
      <c r="I265" s="11">
        <f>IF(F265="Labor",IF(C265="USD",IFERROR(VLOOKUP(D265,Recursos!$A$3:$F$100,4,FALSE),""),IFERROR(VLOOKUP(D265,Recursos!$A$3:$F$100,5,FALSE),"")),"")</f>
        <v/>
      </c>
      <c r="J265" s="10" t="n">
        <v>0</v>
      </c>
      <c r="K265" s="11">
        <f>IF(F265="Labor",IF(C265="USD",H265*I265,(H265*I265)/Setup!$B$7),IF(C265="USD",J265,J265/Setup!$B$7))</f>
        <v/>
      </c>
      <c r="L265" s="11">
        <f>K265*Setup!$B$7</f>
        <v/>
      </c>
      <c r="M265" s="10" t="n"/>
      <c r="N265" s="10" t="inlineStr">
        <is>
          <t>S</t>
        </is>
      </c>
      <c r="O265" s="10" t="n"/>
      <c r="P265" s="10" t="n"/>
    </row>
    <row r="266">
      <c r="A266" s="10" t="n"/>
      <c r="B266" s="11">
        <f>IF(A266="","",TEXT(A266,"yyyy-mm"))</f>
        <v/>
      </c>
      <c r="C266" s="10" t="inlineStr">
        <is>
          <t>USD</t>
        </is>
      </c>
      <c r="D266" s="10" t="n"/>
      <c r="E266" s="11">
        <f>IFERROR(VLOOKUP(D266,Recursos!$A$3:$F$100,2,FALSE),"")</f>
        <v/>
      </c>
      <c r="F266" s="10" t="n"/>
      <c r="G266" s="10" t="n"/>
      <c r="H266" s="14" t="n">
        <v>0</v>
      </c>
      <c r="I266" s="11">
        <f>IF(F266="Labor",IF(C266="USD",IFERROR(VLOOKUP(D266,Recursos!$A$3:$F$100,4,FALSE),""),IFERROR(VLOOKUP(D266,Recursos!$A$3:$F$100,5,FALSE),"")),"")</f>
        <v/>
      </c>
      <c r="J266" s="10" t="n">
        <v>0</v>
      </c>
      <c r="K266" s="11">
        <f>IF(F266="Labor",IF(C266="USD",H266*I266,(H266*I266)/Setup!$B$7),IF(C266="USD",J266,J266/Setup!$B$7))</f>
        <v/>
      </c>
      <c r="L266" s="11">
        <f>K266*Setup!$B$7</f>
        <v/>
      </c>
      <c r="M266" s="10" t="n"/>
      <c r="N266" s="10" t="inlineStr">
        <is>
          <t>S</t>
        </is>
      </c>
      <c r="O266" s="10" t="n"/>
      <c r="P266" s="10" t="n"/>
    </row>
    <row r="267">
      <c r="A267" s="10" t="n"/>
      <c r="B267" s="11">
        <f>IF(A267="","",TEXT(A267,"yyyy-mm"))</f>
        <v/>
      </c>
      <c r="C267" s="10" t="inlineStr">
        <is>
          <t>USD</t>
        </is>
      </c>
      <c r="D267" s="10" t="n"/>
      <c r="E267" s="11">
        <f>IFERROR(VLOOKUP(D267,Recursos!$A$3:$F$100,2,FALSE),"")</f>
        <v/>
      </c>
      <c r="F267" s="10" t="n"/>
      <c r="G267" s="10" t="n"/>
      <c r="H267" s="14" t="n">
        <v>0</v>
      </c>
      <c r="I267" s="11">
        <f>IF(F267="Labor",IF(C267="USD",IFERROR(VLOOKUP(D267,Recursos!$A$3:$F$100,4,FALSE),""),IFERROR(VLOOKUP(D267,Recursos!$A$3:$F$100,5,FALSE),"")),"")</f>
        <v/>
      </c>
      <c r="J267" s="10" t="n">
        <v>0</v>
      </c>
      <c r="K267" s="11">
        <f>IF(F267="Labor",IF(C267="USD",H267*I267,(H267*I267)/Setup!$B$7),IF(C267="USD",J267,J267/Setup!$B$7))</f>
        <v/>
      </c>
      <c r="L267" s="11">
        <f>K267*Setup!$B$7</f>
        <v/>
      </c>
      <c r="M267" s="10" t="n"/>
      <c r="N267" s="10" t="inlineStr">
        <is>
          <t>S</t>
        </is>
      </c>
      <c r="O267" s="10" t="n"/>
      <c r="P267" s="10" t="n"/>
    </row>
    <row r="268">
      <c r="A268" s="10" t="n"/>
      <c r="B268" s="11">
        <f>IF(A268="","",TEXT(A268,"yyyy-mm"))</f>
        <v/>
      </c>
      <c r="C268" s="10" t="inlineStr">
        <is>
          <t>USD</t>
        </is>
      </c>
      <c r="D268" s="10" t="n"/>
      <c r="E268" s="11">
        <f>IFERROR(VLOOKUP(D268,Recursos!$A$3:$F$100,2,FALSE),"")</f>
        <v/>
      </c>
      <c r="F268" s="10" t="n"/>
      <c r="G268" s="10" t="n"/>
      <c r="H268" s="14" t="n">
        <v>0</v>
      </c>
      <c r="I268" s="11">
        <f>IF(F268="Labor",IF(C268="USD",IFERROR(VLOOKUP(D268,Recursos!$A$3:$F$100,4,FALSE),""),IFERROR(VLOOKUP(D268,Recursos!$A$3:$F$100,5,FALSE),"")),"")</f>
        <v/>
      </c>
      <c r="J268" s="10" t="n">
        <v>0</v>
      </c>
      <c r="K268" s="11">
        <f>IF(F268="Labor",IF(C268="USD",H268*I268,(H268*I268)/Setup!$B$7),IF(C268="USD",J268,J268/Setup!$B$7))</f>
        <v/>
      </c>
      <c r="L268" s="11">
        <f>K268*Setup!$B$7</f>
        <v/>
      </c>
      <c r="M268" s="10" t="n"/>
      <c r="N268" s="10" t="inlineStr">
        <is>
          <t>S</t>
        </is>
      </c>
      <c r="O268" s="10" t="n"/>
      <c r="P268" s="10" t="n"/>
    </row>
    <row r="269">
      <c r="A269" s="10" t="n"/>
      <c r="B269" s="11">
        <f>IF(A269="","",TEXT(A269,"yyyy-mm"))</f>
        <v/>
      </c>
      <c r="C269" s="10" t="inlineStr">
        <is>
          <t>USD</t>
        </is>
      </c>
      <c r="D269" s="10" t="n"/>
      <c r="E269" s="11">
        <f>IFERROR(VLOOKUP(D269,Recursos!$A$3:$F$100,2,FALSE),"")</f>
        <v/>
      </c>
      <c r="F269" s="10" t="n"/>
      <c r="G269" s="10" t="n"/>
      <c r="H269" s="14" t="n">
        <v>0</v>
      </c>
      <c r="I269" s="11">
        <f>IF(F269="Labor",IF(C269="USD",IFERROR(VLOOKUP(D269,Recursos!$A$3:$F$100,4,FALSE),""),IFERROR(VLOOKUP(D269,Recursos!$A$3:$F$100,5,FALSE),"")),"")</f>
        <v/>
      </c>
      <c r="J269" s="10" t="n">
        <v>0</v>
      </c>
      <c r="K269" s="11">
        <f>IF(F269="Labor",IF(C269="USD",H269*I269,(H269*I269)/Setup!$B$7),IF(C269="USD",J269,J269/Setup!$B$7))</f>
        <v/>
      </c>
      <c r="L269" s="11">
        <f>K269*Setup!$B$7</f>
        <v/>
      </c>
      <c r="M269" s="10" t="n"/>
      <c r="N269" s="10" t="inlineStr">
        <is>
          <t>S</t>
        </is>
      </c>
      <c r="O269" s="10" t="n"/>
      <c r="P269" s="10" t="n"/>
    </row>
    <row r="270">
      <c r="A270" s="10" t="n"/>
      <c r="B270" s="11">
        <f>IF(A270="","",TEXT(A270,"yyyy-mm"))</f>
        <v/>
      </c>
      <c r="C270" s="10" t="inlineStr">
        <is>
          <t>USD</t>
        </is>
      </c>
      <c r="D270" s="10" t="n"/>
      <c r="E270" s="11">
        <f>IFERROR(VLOOKUP(D270,Recursos!$A$3:$F$100,2,FALSE),"")</f>
        <v/>
      </c>
      <c r="F270" s="10" t="n"/>
      <c r="G270" s="10" t="n"/>
      <c r="H270" s="14" t="n">
        <v>0</v>
      </c>
      <c r="I270" s="11">
        <f>IF(F270="Labor",IF(C270="USD",IFERROR(VLOOKUP(D270,Recursos!$A$3:$F$100,4,FALSE),""),IFERROR(VLOOKUP(D270,Recursos!$A$3:$F$100,5,FALSE),"")),"")</f>
        <v/>
      </c>
      <c r="J270" s="10" t="n">
        <v>0</v>
      </c>
      <c r="K270" s="11">
        <f>IF(F270="Labor",IF(C270="USD",H270*I270,(H270*I270)/Setup!$B$7),IF(C270="USD",J270,J270/Setup!$B$7))</f>
        <v/>
      </c>
      <c r="L270" s="11">
        <f>K270*Setup!$B$7</f>
        <v/>
      </c>
      <c r="M270" s="10" t="n"/>
      <c r="N270" s="10" t="inlineStr">
        <is>
          <t>S</t>
        </is>
      </c>
      <c r="O270" s="10" t="n"/>
      <c r="P270" s="10" t="n"/>
    </row>
    <row r="271">
      <c r="A271" s="10" t="n"/>
      <c r="B271" s="11">
        <f>IF(A271="","",TEXT(A271,"yyyy-mm"))</f>
        <v/>
      </c>
      <c r="C271" s="10" t="inlineStr">
        <is>
          <t>USD</t>
        </is>
      </c>
      <c r="D271" s="10" t="n"/>
      <c r="E271" s="11">
        <f>IFERROR(VLOOKUP(D271,Recursos!$A$3:$F$100,2,FALSE),"")</f>
        <v/>
      </c>
      <c r="F271" s="10" t="n"/>
      <c r="G271" s="10" t="n"/>
      <c r="H271" s="14" t="n">
        <v>0</v>
      </c>
      <c r="I271" s="11">
        <f>IF(F271="Labor",IF(C271="USD",IFERROR(VLOOKUP(D271,Recursos!$A$3:$F$100,4,FALSE),""),IFERROR(VLOOKUP(D271,Recursos!$A$3:$F$100,5,FALSE),"")),"")</f>
        <v/>
      </c>
      <c r="J271" s="10" t="n">
        <v>0</v>
      </c>
      <c r="K271" s="11">
        <f>IF(F271="Labor",IF(C271="USD",H271*I271,(H271*I271)/Setup!$B$7),IF(C271="USD",J271,J271/Setup!$B$7))</f>
        <v/>
      </c>
      <c r="L271" s="11">
        <f>K271*Setup!$B$7</f>
        <v/>
      </c>
      <c r="M271" s="10" t="n"/>
      <c r="N271" s="10" t="inlineStr">
        <is>
          <t>S</t>
        </is>
      </c>
      <c r="O271" s="10" t="n"/>
      <c r="P271" s="10" t="n"/>
    </row>
    <row r="272">
      <c r="A272" s="10" t="n"/>
      <c r="B272" s="11">
        <f>IF(A272="","",TEXT(A272,"yyyy-mm"))</f>
        <v/>
      </c>
      <c r="C272" s="10" t="inlineStr">
        <is>
          <t>USD</t>
        </is>
      </c>
      <c r="D272" s="10" t="n"/>
      <c r="E272" s="11">
        <f>IFERROR(VLOOKUP(D272,Recursos!$A$3:$F$100,2,FALSE),"")</f>
        <v/>
      </c>
      <c r="F272" s="10" t="n"/>
      <c r="G272" s="10" t="n"/>
      <c r="H272" s="14" t="n">
        <v>0</v>
      </c>
      <c r="I272" s="11">
        <f>IF(F272="Labor",IF(C272="USD",IFERROR(VLOOKUP(D272,Recursos!$A$3:$F$100,4,FALSE),""),IFERROR(VLOOKUP(D272,Recursos!$A$3:$F$100,5,FALSE),"")),"")</f>
        <v/>
      </c>
      <c r="J272" s="10" t="n">
        <v>0</v>
      </c>
      <c r="K272" s="11">
        <f>IF(F272="Labor",IF(C272="USD",H272*I272,(H272*I272)/Setup!$B$7),IF(C272="USD",J272,J272/Setup!$B$7))</f>
        <v/>
      </c>
      <c r="L272" s="11">
        <f>K272*Setup!$B$7</f>
        <v/>
      </c>
      <c r="M272" s="10" t="n"/>
      <c r="N272" s="10" t="inlineStr">
        <is>
          <t>S</t>
        </is>
      </c>
      <c r="O272" s="10" t="n"/>
      <c r="P272" s="10" t="n"/>
    </row>
    <row r="273">
      <c r="A273" s="10" t="n"/>
      <c r="B273" s="11">
        <f>IF(A273="","",TEXT(A273,"yyyy-mm"))</f>
        <v/>
      </c>
      <c r="C273" s="10" t="inlineStr">
        <is>
          <t>USD</t>
        </is>
      </c>
      <c r="D273" s="10" t="n"/>
      <c r="E273" s="11">
        <f>IFERROR(VLOOKUP(D273,Recursos!$A$3:$F$100,2,FALSE),"")</f>
        <v/>
      </c>
      <c r="F273" s="10" t="n"/>
      <c r="G273" s="10" t="n"/>
      <c r="H273" s="14" t="n">
        <v>0</v>
      </c>
      <c r="I273" s="11">
        <f>IF(F273="Labor",IF(C273="USD",IFERROR(VLOOKUP(D273,Recursos!$A$3:$F$100,4,FALSE),""),IFERROR(VLOOKUP(D273,Recursos!$A$3:$F$100,5,FALSE),"")),"")</f>
        <v/>
      </c>
      <c r="J273" s="10" t="n">
        <v>0</v>
      </c>
      <c r="K273" s="11">
        <f>IF(F273="Labor",IF(C273="USD",H273*I273,(H273*I273)/Setup!$B$7),IF(C273="USD",J273,J273/Setup!$B$7))</f>
        <v/>
      </c>
      <c r="L273" s="11">
        <f>K273*Setup!$B$7</f>
        <v/>
      </c>
      <c r="M273" s="10" t="n"/>
      <c r="N273" s="10" t="inlineStr">
        <is>
          <t>S</t>
        </is>
      </c>
      <c r="O273" s="10" t="n"/>
      <c r="P273" s="10" t="n"/>
    </row>
    <row r="274">
      <c r="A274" s="10" t="n"/>
      <c r="B274" s="11">
        <f>IF(A274="","",TEXT(A274,"yyyy-mm"))</f>
        <v/>
      </c>
      <c r="C274" s="10" t="inlineStr">
        <is>
          <t>USD</t>
        </is>
      </c>
      <c r="D274" s="10" t="n"/>
      <c r="E274" s="11">
        <f>IFERROR(VLOOKUP(D274,Recursos!$A$3:$F$100,2,FALSE),"")</f>
        <v/>
      </c>
      <c r="F274" s="10" t="n"/>
      <c r="G274" s="10" t="n"/>
      <c r="H274" s="14" t="n">
        <v>0</v>
      </c>
      <c r="I274" s="11">
        <f>IF(F274="Labor",IF(C274="USD",IFERROR(VLOOKUP(D274,Recursos!$A$3:$F$100,4,FALSE),""),IFERROR(VLOOKUP(D274,Recursos!$A$3:$F$100,5,FALSE),"")),"")</f>
        <v/>
      </c>
      <c r="J274" s="10" t="n">
        <v>0</v>
      </c>
      <c r="K274" s="11">
        <f>IF(F274="Labor",IF(C274="USD",H274*I274,(H274*I274)/Setup!$B$7),IF(C274="USD",J274,J274/Setup!$B$7))</f>
        <v/>
      </c>
      <c r="L274" s="11">
        <f>K274*Setup!$B$7</f>
        <v/>
      </c>
      <c r="M274" s="10" t="n"/>
      <c r="N274" s="10" t="inlineStr">
        <is>
          <t>S</t>
        </is>
      </c>
      <c r="O274" s="10" t="n"/>
      <c r="P274" s="10" t="n"/>
    </row>
    <row r="275">
      <c r="A275" s="10" t="n"/>
      <c r="B275" s="11">
        <f>IF(A275="","",TEXT(A275,"yyyy-mm"))</f>
        <v/>
      </c>
      <c r="C275" s="10" t="inlineStr">
        <is>
          <t>USD</t>
        </is>
      </c>
      <c r="D275" s="10" t="n"/>
      <c r="E275" s="11">
        <f>IFERROR(VLOOKUP(D275,Recursos!$A$3:$F$100,2,FALSE),"")</f>
        <v/>
      </c>
      <c r="F275" s="10" t="n"/>
      <c r="G275" s="10" t="n"/>
      <c r="H275" s="14" t="n">
        <v>0</v>
      </c>
      <c r="I275" s="11">
        <f>IF(F275="Labor",IF(C275="USD",IFERROR(VLOOKUP(D275,Recursos!$A$3:$F$100,4,FALSE),""),IFERROR(VLOOKUP(D275,Recursos!$A$3:$F$100,5,FALSE),"")),"")</f>
        <v/>
      </c>
      <c r="J275" s="10" t="n">
        <v>0</v>
      </c>
      <c r="K275" s="11">
        <f>IF(F275="Labor",IF(C275="USD",H275*I275,(H275*I275)/Setup!$B$7),IF(C275="USD",J275,J275/Setup!$B$7))</f>
        <v/>
      </c>
      <c r="L275" s="11">
        <f>K275*Setup!$B$7</f>
        <v/>
      </c>
      <c r="M275" s="10" t="n"/>
      <c r="N275" s="10" t="inlineStr">
        <is>
          <t>S</t>
        </is>
      </c>
      <c r="O275" s="10" t="n"/>
      <c r="P275" s="10" t="n"/>
    </row>
    <row r="276">
      <c r="A276" s="10" t="n"/>
      <c r="B276" s="11">
        <f>IF(A276="","",TEXT(A276,"yyyy-mm"))</f>
        <v/>
      </c>
      <c r="C276" s="10" t="inlineStr">
        <is>
          <t>USD</t>
        </is>
      </c>
      <c r="D276" s="10" t="n"/>
      <c r="E276" s="11">
        <f>IFERROR(VLOOKUP(D276,Recursos!$A$3:$F$100,2,FALSE),"")</f>
        <v/>
      </c>
      <c r="F276" s="10" t="n"/>
      <c r="G276" s="10" t="n"/>
      <c r="H276" s="14" t="n">
        <v>0</v>
      </c>
      <c r="I276" s="11">
        <f>IF(F276="Labor",IF(C276="USD",IFERROR(VLOOKUP(D276,Recursos!$A$3:$F$100,4,FALSE),""),IFERROR(VLOOKUP(D276,Recursos!$A$3:$F$100,5,FALSE),"")),"")</f>
        <v/>
      </c>
      <c r="J276" s="10" t="n">
        <v>0</v>
      </c>
      <c r="K276" s="11">
        <f>IF(F276="Labor",IF(C276="USD",H276*I276,(H276*I276)/Setup!$B$7),IF(C276="USD",J276,J276/Setup!$B$7))</f>
        <v/>
      </c>
      <c r="L276" s="11">
        <f>K276*Setup!$B$7</f>
        <v/>
      </c>
      <c r="M276" s="10" t="n"/>
      <c r="N276" s="10" t="inlineStr">
        <is>
          <t>S</t>
        </is>
      </c>
      <c r="O276" s="10" t="n"/>
      <c r="P276" s="10" t="n"/>
    </row>
    <row r="277">
      <c r="A277" s="10" t="n"/>
      <c r="B277" s="11">
        <f>IF(A277="","",TEXT(A277,"yyyy-mm"))</f>
        <v/>
      </c>
      <c r="C277" s="10" t="inlineStr">
        <is>
          <t>USD</t>
        </is>
      </c>
      <c r="D277" s="10" t="n"/>
      <c r="E277" s="11">
        <f>IFERROR(VLOOKUP(D277,Recursos!$A$3:$F$100,2,FALSE),"")</f>
        <v/>
      </c>
      <c r="F277" s="10" t="n"/>
      <c r="G277" s="10" t="n"/>
      <c r="H277" s="14" t="n">
        <v>0</v>
      </c>
      <c r="I277" s="11">
        <f>IF(F277="Labor",IF(C277="USD",IFERROR(VLOOKUP(D277,Recursos!$A$3:$F$100,4,FALSE),""),IFERROR(VLOOKUP(D277,Recursos!$A$3:$F$100,5,FALSE),"")),"")</f>
        <v/>
      </c>
      <c r="J277" s="10" t="n">
        <v>0</v>
      </c>
      <c r="K277" s="11">
        <f>IF(F277="Labor",IF(C277="USD",H277*I277,(H277*I277)/Setup!$B$7),IF(C277="USD",J277,J277/Setup!$B$7))</f>
        <v/>
      </c>
      <c r="L277" s="11">
        <f>K277*Setup!$B$7</f>
        <v/>
      </c>
      <c r="M277" s="10" t="n"/>
      <c r="N277" s="10" t="inlineStr">
        <is>
          <t>S</t>
        </is>
      </c>
      <c r="O277" s="10" t="n"/>
      <c r="P277" s="10" t="n"/>
    </row>
    <row r="278">
      <c r="A278" s="10" t="n"/>
      <c r="B278" s="11">
        <f>IF(A278="","",TEXT(A278,"yyyy-mm"))</f>
        <v/>
      </c>
      <c r="C278" s="10" t="inlineStr">
        <is>
          <t>USD</t>
        </is>
      </c>
      <c r="D278" s="10" t="n"/>
      <c r="E278" s="11">
        <f>IFERROR(VLOOKUP(D278,Recursos!$A$3:$F$100,2,FALSE),"")</f>
        <v/>
      </c>
      <c r="F278" s="10" t="n"/>
      <c r="G278" s="10" t="n"/>
      <c r="H278" s="14" t="n">
        <v>0</v>
      </c>
      <c r="I278" s="11">
        <f>IF(F278="Labor",IF(C278="USD",IFERROR(VLOOKUP(D278,Recursos!$A$3:$F$100,4,FALSE),""),IFERROR(VLOOKUP(D278,Recursos!$A$3:$F$100,5,FALSE),"")),"")</f>
        <v/>
      </c>
      <c r="J278" s="10" t="n">
        <v>0</v>
      </c>
      <c r="K278" s="11">
        <f>IF(F278="Labor",IF(C278="USD",H278*I278,(H278*I278)/Setup!$B$7),IF(C278="USD",J278,J278/Setup!$B$7))</f>
        <v/>
      </c>
      <c r="L278" s="11">
        <f>K278*Setup!$B$7</f>
        <v/>
      </c>
      <c r="M278" s="10" t="n"/>
      <c r="N278" s="10" t="inlineStr">
        <is>
          <t>S</t>
        </is>
      </c>
      <c r="O278" s="10" t="n"/>
      <c r="P278" s="10" t="n"/>
    </row>
    <row r="279">
      <c r="A279" s="10" t="n"/>
      <c r="B279" s="11">
        <f>IF(A279="","",TEXT(A279,"yyyy-mm"))</f>
        <v/>
      </c>
      <c r="C279" s="10" t="inlineStr">
        <is>
          <t>USD</t>
        </is>
      </c>
      <c r="D279" s="10" t="n"/>
      <c r="E279" s="11">
        <f>IFERROR(VLOOKUP(D279,Recursos!$A$3:$F$100,2,FALSE),"")</f>
        <v/>
      </c>
      <c r="F279" s="10" t="n"/>
      <c r="G279" s="10" t="n"/>
      <c r="H279" s="14" t="n">
        <v>0</v>
      </c>
      <c r="I279" s="11">
        <f>IF(F279="Labor",IF(C279="USD",IFERROR(VLOOKUP(D279,Recursos!$A$3:$F$100,4,FALSE),""),IFERROR(VLOOKUP(D279,Recursos!$A$3:$F$100,5,FALSE),"")),"")</f>
        <v/>
      </c>
      <c r="J279" s="10" t="n">
        <v>0</v>
      </c>
      <c r="K279" s="11">
        <f>IF(F279="Labor",IF(C279="USD",H279*I279,(H279*I279)/Setup!$B$7),IF(C279="USD",J279,J279/Setup!$B$7))</f>
        <v/>
      </c>
      <c r="L279" s="11">
        <f>K279*Setup!$B$7</f>
        <v/>
      </c>
      <c r="M279" s="10" t="n"/>
      <c r="N279" s="10" t="inlineStr">
        <is>
          <t>S</t>
        </is>
      </c>
      <c r="O279" s="10" t="n"/>
      <c r="P279" s="10" t="n"/>
    </row>
    <row r="280">
      <c r="A280" s="10" t="n"/>
      <c r="B280" s="11">
        <f>IF(A280="","",TEXT(A280,"yyyy-mm"))</f>
        <v/>
      </c>
      <c r="C280" s="10" t="inlineStr">
        <is>
          <t>USD</t>
        </is>
      </c>
      <c r="D280" s="10" t="n"/>
      <c r="E280" s="11">
        <f>IFERROR(VLOOKUP(D280,Recursos!$A$3:$F$100,2,FALSE),"")</f>
        <v/>
      </c>
      <c r="F280" s="10" t="n"/>
      <c r="G280" s="10" t="n"/>
      <c r="H280" s="14" t="n">
        <v>0</v>
      </c>
      <c r="I280" s="11">
        <f>IF(F280="Labor",IF(C280="USD",IFERROR(VLOOKUP(D280,Recursos!$A$3:$F$100,4,FALSE),""),IFERROR(VLOOKUP(D280,Recursos!$A$3:$F$100,5,FALSE),"")),"")</f>
        <v/>
      </c>
      <c r="J280" s="10" t="n">
        <v>0</v>
      </c>
      <c r="K280" s="11">
        <f>IF(F280="Labor",IF(C280="USD",H280*I280,(H280*I280)/Setup!$B$7),IF(C280="USD",J280,J280/Setup!$B$7))</f>
        <v/>
      </c>
      <c r="L280" s="11">
        <f>K280*Setup!$B$7</f>
        <v/>
      </c>
      <c r="M280" s="10" t="n"/>
      <c r="N280" s="10" t="inlineStr">
        <is>
          <t>S</t>
        </is>
      </c>
      <c r="O280" s="10" t="n"/>
      <c r="P280" s="10" t="n"/>
    </row>
    <row r="281">
      <c r="A281" s="10" t="n"/>
      <c r="B281" s="11">
        <f>IF(A281="","",TEXT(A281,"yyyy-mm"))</f>
        <v/>
      </c>
      <c r="C281" s="10" t="inlineStr">
        <is>
          <t>USD</t>
        </is>
      </c>
      <c r="D281" s="10" t="n"/>
      <c r="E281" s="11">
        <f>IFERROR(VLOOKUP(D281,Recursos!$A$3:$F$100,2,FALSE),"")</f>
        <v/>
      </c>
      <c r="F281" s="10" t="n"/>
      <c r="G281" s="10" t="n"/>
      <c r="H281" s="14" t="n">
        <v>0</v>
      </c>
      <c r="I281" s="11">
        <f>IF(F281="Labor",IF(C281="USD",IFERROR(VLOOKUP(D281,Recursos!$A$3:$F$100,4,FALSE),""),IFERROR(VLOOKUP(D281,Recursos!$A$3:$F$100,5,FALSE),"")),"")</f>
        <v/>
      </c>
      <c r="J281" s="10" t="n">
        <v>0</v>
      </c>
      <c r="K281" s="11">
        <f>IF(F281="Labor",IF(C281="USD",H281*I281,(H281*I281)/Setup!$B$7),IF(C281="USD",J281,J281/Setup!$B$7))</f>
        <v/>
      </c>
      <c r="L281" s="11">
        <f>K281*Setup!$B$7</f>
        <v/>
      </c>
      <c r="M281" s="10" t="n"/>
      <c r="N281" s="10" t="inlineStr">
        <is>
          <t>S</t>
        </is>
      </c>
      <c r="O281" s="10" t="n"/>
      <c r="P281" s="10" t="n"/>
    </row>
    <row r="282">
      <c r="A282" s="10" t="n"/>
      <c r="B282" s="11">
        <f>IF(A282="","",TEXT(A282,"yyyy-mm"))</f>
        <v/>
      </c>
      <c r="C282" s="10" t="inlineStr">
        <is>
          <t>USD</t>
        </is>
      </c>
      <c r="D282" s="10" t="n"/>
      <c r="E282" s="11">
        <f>IFERROR(VLOOKUP(D282,Recursos!$A$3:$F$100,2,FALSE),"")</f>
        <v/>
      </c>
      <c r="F282" s="10" t="n"/>
      <c r="G282" s="10" t="n"/>
      <c r="H282" s="14" t="n">
        <v>0</v>
      </c>
      <c r="I282" s="11">
        <f>IF(F282="Labor",IF(C282="USD",IFERROR(VLOOKUP(D282,Recursos!$A$3:$F$100,4,FALSE),""),IFERROR(VLOOKUP(D282,Recursos!$A$3:$F$100,5,FALSE),"")),"")</f>
        <v/>
      </c>
      <c r="J282" s="10" t="n">
        <v>0</v>
      </c>
      <c r="K282" s="11">
        <f>IF(F282="Labor",IF(C282="USD",H282*I282,(H282*I282)/Setup!$B$7),IF(C282="USD",J282,J282/Setup!$B$7))</f>
        <v/>
      </c>
      <c r="L282" s="11">
        <f>K282*Setup!$B$7</f>
        <v/>
      </c>
      <c r="M282" s="10" t="n"/>
      <c r="N282" s="10" t="inlineStr">
        <is>
          <t>S</t>
        </is>
      </c>
      <c r="O282" s="10" t="n"/>
      <c r="P282" s="10" t="n"/>
    </row>
    <row r="283">
      <c r="A283" s="10" t="n"/>
      <c r="B283" s="11">
        <f>IF(A283="","",TEXT(A283,"yyyy-mm"))</f>
        <v/>
      </c>
      <c r="C283" s="10" t="inlineStr">
        <is>
          <t>USD</t>
        </is>
      </c>
      <c r="D283" s="10" t="n"/>
      <c r="E283" s="11">
        <f>IFERROR(VLOOKUP(D283,Recursos!$A$3:$F$100,2,FALSE),"")</f>
        <v/>
      </c>
      <c r="F283" s="10" t="n"/>
      <c r="G283" s="10" t="n"/>
      <c r="H283" s="14" t="n">
        <v>0</v>
      </c>
      <c r="I283" s="11">
        <f>IF(F283="Labor",IF(C283="USD",IFERROR(VLOOKUP(D283,Recursos!$A$3:$F$100,4,FALSE),""),IFERROR(VLOOKUP(D283,Recursos!$A$3:$F$100,5,FALSE),"")),"")</f>
        <v/>
      </c>
      <c r="J283" s="10" t="n">
        <v>0</v>
      </c>
      <c r="K283" s="11">
        <f>IF(F283="Labor",IF(C283="USD",H283*I283,(H283*I283)/Setup!$B$7),IF(C283="USD",J283,J283/Setup!$B$7))</f>
        <v/>
      </c>
      <c r="L283" s="11">
        <f>K283*Setup!$B$7</f>
        <v/>
      </c>
      <c r="M283" s="10" t="n"/>
      <c r="N283" s="10" t="inlineStr">
        <is>
          <t>S</t>
        </is>
      </c>
      <c r="O283" s="10" t="n"/>
      <c r="P283" s="10" t="n"/>
    </row>
    <row r="284">
      <c r="A284" s="10" t="n"/>
      <c r="B284" s="11">
        <f>IF(A284="","",TEXT(A284,"yyyy-mm"))</f>
        <v/>
      </c>
      <c r="C284" s="10" t="inlineStr">
        <is>
          <t>USD</t>
        </is>
      </c>
      <c r="D284" s="10" t="n"/>
      <c r="E284" s="11">
        <f>IFERROR(VLOOKUP(D284,Recursos!$A$3:$F$100,2,FALSE),"")</f>
        <v/>
      </c>
      <c r="F284" s="10" t="n"/>
      <c r="G284" s="10" t="n"/>
      <c r="H284" s="14" t="n">
        <v>0</v>
      </c>
      <c r="I284" s="11">
        <f>IF(F284="Labor",IF(C284="USD",IFERROR(VLOOKUP(D284,Recursos!$A$3:$F$100,4,FALSE),""),IFERROR(VLOOKUP(D284,Recursos!$A$3:$F$100,5,FALSE),"")),"")</f>
        <v/>
      </c>
      <c r="J284" s="10" t="n">
        <v>0</v>
      </c>
      <c r="K284" s="11">
        <f>IF(F284="Labor",IF(C284="USD",H284*I284,(H284*I284)/Setup!$B$7),IF(C284="USD",J284,J284/Setup!$B$7))</f>
        <v/>
      </c>
      <c r="L284" s="11">
        <f>K284*Setup!$B$7</f>
        <v/>
      </c>
      <c r="M284" s="10" t="n"/>
      <c r="N284" s="10" t="inlineStr">
        <is>
          <t>S</t>
        </is>
      </c>
      <c r="O284" s="10" t="n"/>
      <c r="P284" s="10" t="n"/>
    </row>
    <row r="285">
      <c r="A285" s="10" t="n"/>
      <c r="B285" s="11">
        <f>IF(A285="","",TEXT(A285,"yyyy-mm"))</f>
        <v/>
      </c>
      <c r="C285" s="10" t="inlineStr">
        <is>
          <t>USD</t>
        </is>
      </c>
      <c r="D285" s="10" t="n"/>
      <c r="E285" s="11">
        <f>IFERROR(VLOOKUP(D285,Recursos!$A$3:$F$100,2,FALSE),"")</f>
        <v/>
      </c>
      <c r="F285" s="10" t="n"/>
      <c r="G285" s="10" t="n"/>
      <c r="H285" s="14" t="n">
        <v>0</v>
      </c>
      <c r="I285" s="11">
        <f>IF(F285="Labor",IF(C285="USD",IFERROR(VLOOKUP(D285,Recursos!$A$3:$F$100,4,FALSE),""),IFERROR(VLOOKUP(D285,Recursos!$A$3:$F$100,5,FALSE),"")),"")</f>
        <v/>
      </c>
      <c r="J285" s="10" t="n">
        <v>0</v>
      </c>
      <c r="K285" s="11">
        <f>IF(F285="Labor",IF(C285="USD",H285*I285,(H285*I285)/Setup!$B$7),IF(C285="USD",J285,J285/Setup!$B$7))</f>
        <v/>
      </c>
      <c r="L285" s="11">
        <f>K285*Setup!$B$7</f>
        <v/>
      </c>
      <c r="M285" s="10" t="n"/>
      <c r="N285" s="10" t="inlineStr">
        <is>
          <t>S</t>
        </is>
      </c>
      <c r="O285" s="10" t="n"/>
      <c r="P285" s="10" t="n"/>
    </row>
    <row r="286">
      <c r="A286" s="10" t="n"/>
      <c r="B286" s="11">
        <f>IF(A286="","",TEXT(A286,"yyyy-mm"))</f>
        <v/>
      </c>
      <c r="C286" s="10" t="inlineStr">
        <is>
          <t>USD</t>
        </is>
      </c>
      <c r="D286" s="10" t="n"/>
      <c r="E286" s="11">
        <f>IFERROR(VLOOKUP(D286,Recursos!$A$3:$F$100,2,FALSE),"")</f>
        <v/>
      </c>
      <c r="F286" s="10" t="n"/>
      <c r="G286" s="10" t="n"/>
      <c r="H286" s="14" t="n">
        <v>0</v>
      </c>
      <c r="I286" s="11">
        <f>IF(F286="Labor",IF(C286="USD",IFERROR(VLOOKUP(D286,Recursos!$A$3:$F$100,4,FALSE),""),IFERROR(VLOOKUP(D286,Recursos!$A$3:$F$100,5,FALSE),"")),"")</f>
        <v/>
      </c>
      <c r="J286" s="10" t="n">
        <v>0</v>
      </c>
      <c r="K286" s="11">
        <f>IF(F286="Labor",IF(C286="USD",H286*I286,(H286*I286)/Setup!$B$7),IF(C286="USD",J286,J286/Setup!$B$7))</f>
        <v/>
      </c>
      <c r="L286" s="11">
        <f>K286*Setup!$B$7</f>
        <v/>
      </c>
      <c r="M286" s="10" t="n"/>
      <c r="N286" s="10" t="inlineStr">
        <is>
          <t>S</t>
        </is>
      </c>
      <c r="O286" s="10" t="n"/>
      <c r="P286" s="10" t="n"/>
    </row>
    <row r="287">
      <c r="A287" s="10" t="n"/>
      <c r="B287" s="11">
        <f>IF(A287="","",TEXT(A287,"yyyy-mm"))</f>
        <v/>
      </c>
      <c r="C287" s="10" t="inlineStr">
        <is>
          <t>USD</t>
        </is>
      </c>
      <c r="D287" s="10" t="n"/>
      <c r="E287" s="11">
        <f>IFERROR(VLOOKUP(D287,Recursos!$A$3:$F$100,2,FALSE),"")</f>
        <v/>
      </c>
      <c r="F287" s="10" t="n"/>
      <c r="G287" s="10" t="n"/>
      <c r="H287" s="14" t="n">
        <v>0</v>
      </c>
      <c r="I287" s="11">
        <f>IF(F287="Labor",IF(C287="USD",IFERROR(VLOOKUP(D287,Recursos!$A$3:$F$100,4,FALSE),""),IFERROR(VLOOKUP(D287,Recursos!$A$3:$F$100,5,FALSE),"")),"")</f>
        <v/>
      </c>
      <c r="J287" s="10" t="n">
        <v>0</v>
      </c>
      <c r="K287" s="11">
        <f>IF(F287="Labor",IF(C287="USD",H287*I287,(H287*I287)/Setup!$B$7),IF(C287="USD",J287,J287/Setup!$B$7))</f>
        <v/>
      </c>
      <c r="L287" s="11">
        <f>K287*Setup!$B$7</f>
        <v/>
      </c>
      <c r="M287" s="10" t="n"/>
      <c r="N287" s="10" t="inlineStr">
        <is>
          <t>S</t>
        </is>
      </c>
      <c r="O287" s="10" t="n"/>
      <c r="P287" s="10" t="n"/>
    </row>
    <row r="288">
      <c r="A288" s="10" t="n"/>
      <c r="B288" s="11">
        <f>IF(A288="","",TEXT(A288,"yyyy-mm"))</f>
        <v/>
      </c>
      <c r="C288" s="10" t="inlineStr">
        <is>
          <t>USD</t>
        </is>
      </c>
      <c r="D288" s="10" t="n"/>
      <c r="E288" s="11">
        <f>IFERROR(VLOOKUP(D288,Recursos!$A$3:$F$100,2,FALSE),"")</f>
        <v/>
      </c>
      <c r="F288" s="10" t="n"/>
      <c r="G288" s="10" t="n"/>
      <c r="H288" s="14" t="n">
        <v>0</v>
      </c>
      <c r="I288" s="11">
        <f>IF(F288="Labor",IF(C288="USD",IFERROR(VLOOKUP(D288,Recursos!$A$3:$F$100,4,FALSE),""),IFERROR(VLOOKUP(D288,Recursos!$A$3:$F$100,5,FALSE),"")),"")</f>
        <v/>
      </c>
      <c r="J288" s="10" t="n">
        <v>0</v>
      </c>
      <c r="K288" s="11">
        <f>IF(F288="Labor",IF(C288="USD",H288*I288,(H288*I288)/Setup!$B$7),IF(C288="USD",J288,J288/Setup!$B$7))</f>
        <v/>
      </c>
      <c r="L288" s="11">
        <f>K288*Setup!$B$7</f>
        <v/>
      </c>
      <c r="M288" s="10" t="n"/>
      <c r="N288" s="10" t="inlineStr">
        <is>
          <t>S</t>
        </is>
      </c>
      <c r="O288" s="10" t="n"/>
      <c r="P288" s="10" t="n"/>
    </row>
    <row r="289">
      <c r="A289" s="10" t="n"/>
      <c r="B289" s="11">
        <f>IF(A289="","",TEXT(A289,"yyyy-mm"))</f>
        <v/>
      </c>
      <c r="C289" s="10" t="inlineStr">
        <is>
          <t>USD</t>
        </is>
      </c>
      <c r="D289" s="10" t="n"/>
      <c r="E289" s="11">
        <f>IFERROR(VLOOKUP(D289,Recursos!$A$3:$F$100,2,FALSE),"")</f>
        <v/>
      </c>
      <c r="F289" s="10" t="n"/>
      <c r="G289" s="10" t="n"/>
      <c r="H289" s="14" t="n">
        <v>0</v>
      </c>
      <c r="I289" s="11">
        <f>IF(F289="Labor",IF(C289="USD",IFERROR(VLOOKUP(D289,Recursos!$A$3:$F$100,4,FALSE),""),IFERROR(VLOOKUP(D289,Recursos!$A$3:$F$100,5,FALSE),"")),"")</f>
        <v/>
      </c>
      <c r="J289" s="10" t="n">
        <v>0</v>
      </c>
      <c r="K289" s="11">
        <f>IF(F289="Labor",IF(C289="USD",H289*I289,(H289*I289)/Setup!$B$7),IF(C289="USD",J289,J289/Setup!$B$7))</f>
        <v/>
      </c>
      <c r="L289" s="11">
        <f>K289*Setup!$B$7</f>
        <v/>
      </c>
      <c r="M289" s="10" t="n"/>
      <c r="N289" s="10" t="inlineStr">
        <is>
          <t>S</t>
        </is>
      </c>
      <c r="O289" s="10" t="n"/>
      <c r="P289" s="10" t="n"/>
    </row>
    <row r="290">
      <c r="A290" s="10" t="n"/>
      <c r="B290" s="11">
        <f>IF(A290="","",TEXT(A290,"yyyy-mm"))</f>
        <v/>
      </c>
      <c r="C290" s="10" t="inlineStr">
        <is>
          <t>USD</t>
        </is>
      </c>
      <c r="D290" s="10" t="n"/>
      <c r="E290" s="11">
        <f>IFERROR(VLOOKUP(D290,Recursos!$A$3:$F$100,2,FALSE),"")</f>
        <v/>
      </c>
      <c r="F290" s="10" t="n"/>
      <c r="G290" s="10" t="n"/>
      <c r="H290" s="14" t="n">
        <v>0</v>
      </c>
      <c r="I290" s="11">
        <f>IF(F290="Labor",IF(C290="USD",IFERROR(VLOOKUP(D290,Recursos!$A$3:$F$100,4,FALSE),""),IFERROR(VLOOKUP(D290,Recursos!$A$3:$F$100,5,FALSE),"")),"")</f>
        <v/>
      </c>
      <c r="J290" s="10" t="n">
        <v>0</v>
      </c>
      <c r="K290" s="11">
        <f>IF(F290="Labor",IF(C290="USD",H290*I290,(H290*I290)/Setup!$B$7),IF(C290="USD",J290,J290/Setup!$B$7))</f>
        <v/>
      </c>
      <c r="L290" s="11">
        <f>K290*Setup!$B$7</f>
        <v/>
      </c>
      <c r="M290" s="10" t="n"/>
      <c r="N290" s="10" t="inlineStr">
        <is>
          <t>S</t>
        </is>
      </c>
      <c r="O290" s="10" t="n"/>
      <c r="P290" s="10" t="n"/>
    </row>
    <row r="291">
      <c r="A291" s="10" t="n"/>
      <c r="B291" s="11">
        <f>IF(A291="","",TEXT(A291,"yyyy-mm"))</f>
        <v/>
      </c>
      <c r="C291" s="10" t="inlineStr">
        <is>
          <t>USD</t>
        </is>
      </c>
      <c r="D291" s="10" t="n"/>
      <c r="E291" s="11">
        <f>IFERROR(VLOOKUP(D291,Recursos!$A$3:$F$100,2,FALSE),"")</f>
        <v/>
      </c>
      <c r="F291" s="10" t="n"/>
      <c r="G291" s="10" t="n"/>
      <c r="H291" s="14" t="n">
        <v>0</v>
      </c>
      <c r="I291" s="11">
        <f>IF(F291="Labor",IF(C291="USD",IFERROR(VLOOKUP(D291,Recursos!$A$3:$F$100,4,FALSE),""),IFERROR(VLOOKUP(D291,Recursos!$A$3:$F$100,5,FALSE),"")),"")</f>
        <v/>
      </c>
      <c r="J291" s="10" t="n">
        <v>0</v>
      </c>
      <c r="K291" s="11">
        <f>IF(F291="Labor",IF(C291="USD",H291*I291,(H291*I291)/Setup!$B$7),IF(C291="USD",J291,J291/Setup!$B$7))</f>
        <v/>
      </c>
      <c r="L291" s="11">
        <f>K291*Setup!$B$7</f>
        <v/>
      </c>
      <c r="M291" s="10" t="n"/>
      <c r="N291" s="10" t="inlineStr">
        <is>
          <t>S</t>
        </is>
      </c>
      <c r="O291" s="10" t="n"/>
      <c r="P291" s="10" t="n"/>
    </row>
    <row r="292">
      <c r="A292" s="10" t="n"/>
      <c r="B292" s="11">
        <f>IF(A292="","",TEXT(A292,"yyyy-mm"))</f>
        <v/>
      </c>
      <c r="C292" s="10" t="inlineStr">
        <is>
          <t>USD</t>
        </is>
      </c>
      <c r="D292" s="10" t="n"/>
      <c r="E292" s="11">
        <f>IFERROR(VLOOKUP(D292,Recursos!$A$3:$F$100,2,FALSE),"")</f>
        <v/>
      </c>
      <c r="F292" s="10" t="n"/>
      <c r="G292" s="10" t="n"/>
      <c r="H292" s="14" t="n">
        <v>0</v>
      </c>
      <c r="I292" s="11">
        <f>IF(F292="Labor",IF(C292="USD",IFERROR(VLOOKUP(D292,Recursos!$A$3:$F$100,4,FALSE),""),IFERROR(VLOOKUP(D292,Recursos!$A$3:$F$100,5,FALSE),"")),"")</f>
        <v/>
      </c>
      <c r="J292" s="10" t="n">
        <v>0</v>
      </c>
      <c r="K292" s="11">
        <f>IF(F292="Labor",IF(C292="USD",H292*I292,(H292*I292)/Setup!$B$7),IF(C292="USD",J292,J292/Setup!$B$7))</f>
        <v/>
      </c>
      <c r="L292" s="11">
        <f>K292*Setup!$B$7</f>
        <v/>
      </c>
      <c r="M292" s="10" t="n"/>
      <c r="N292" s="10" t="inlineStr">
        <is>
          <t>S</t>
        </is>
      </c>
      <c r="O292" s="10" t="n"/>
      <c r="P292" s="10" t="n"/>
    </row>
    <row r="293">
      <c r="A293" s="10" t="n"/>
      <c r="B293" s="11">
        <f>IF(A293="","",TEXT(A293,"yyyy-mm"))</f>
        <v/>
      </c>
      <c r="C293" s="10" t="inlineStr">
        <is>
          <t>USD</t>
        </is>
      </c>
      <c r="D293" s="10" t="n"/>
      <c r="E293" s="11">
        <f>IFERROR(VLOOKUP(D293,Recursos!$A$3:$F$100,2,FALSE),"")</f>
        <v/>
      </c>
      <c r="F293" s="10" t="n"/>
      <c r="G293" s="10" t="n"/>
      <c r="H293" s="14" t="n">
        <v>0</v>
      </c>
      <c r="I293" s="11">
        <f>IF(F293="Labor",IF(C293="USD",IFERROR(VLOOKUP(D293,Recursos!$A$3:$F$100,4,FALSE),""),IFERROR(VLOOKUP(D293,Recursos!$A$3:$F$100,5,FALSE),"")),"")</f>
        <v/>
      </c>
      <c r="J293" s="10" t="n">
        <v>0</v>
      </c>
      <c r="K293" s="11">
        <f>IF(F293="Labor",IF(C293="USD",H293*I293,(H293*I293)/Setup!$B$7),IF(C293="USD",J293,J293/Setup!$B$7))</f>
        <v/>
      </c>
      <c r="L293" s="11">
        <f>K293*Setup!$B$7</f>
        <v/>
      </c>
      <c r="M293" s="10" t="n"/>
      <c r="N293" s="10" t="inlineStr">
        <is>
          <t>S</t>
        </is>
      </c>
      <c r="O293" s="10" t="n"/>
      <c r="P293" s="10" t="n"/>
    </row>
    <row r="294">
      <c r="A294" s="10" t="n"/>
      <c r="B294" s="11">
        <f>IF(A294="","",TEXT(A294,"yyyy-mm"))</f>
        <v/>
      </c>
      <c r="C294" s="10" t="inlineStr">
        <is>
          <t>USD</t>
        </is>
      </c>
      <c r="D294" s="10" t="n"/>
      <c r="E294" s="11">
        <f>IFERROR(VLOOKUP(D294,Recursos!$A$3:$F$100,2,FALSE),"")</f>
        <v/>
      </c>
      <c r="F294" s="10" t="n"/>
      <c r="G294" s="10" t="n"/>
      <c r="H294" s="14" t="n">
        <v>0</v>
      </c>
      <c r="I294" s="11">
        <f>IF(F294="Labor",IF(C294="USD",IFERROR(VLOOKUP(D294,Recursos!$A$3:$F$100,4,FALSE),""),IFERROR(VLOOKUP(D294,Recursos!$A$3:$F$100,5,FALSE),"")),"")</f>
        <v/>
      </c>
      <c r="J294" s="10" t="n">
        <v>0</v>
      </c>
      <c r="K294" s="11">
        <f>IF(F294="Labor",IF(C294="USD",H294*I294,(H294*I294)/Setup!$B$7),IF(C294="USD",J294,J294/Setup!$B$7))</f>
        <v/>
      </c>
      <c r="L294" s="11">
        <f>K294*Setup!$B$7</f>
        <v/>
      </c>
      <c r="M294" s="10" t="n"/>
      <c r="N294" s="10" t="inlineStr">
        <is>
          <t>S</t>
        </is>
      </c>
      <c r="O294" s="10" t="n"/>
      <c r="P294" s="10" t="n"/>
    </row>
    <row r="295">
      <c r="A295" s="10" t="n"/>
      <c r="B295" s="11">
        <f>IF(A295="","",TEXT(A295,"yyyy-mm"))</f>
        <v/>
      </c>
      <c r="C295" s="10" t="inlineStr">
        <is>
          <t>USD</t>
        </is>
      </c>
      <c r="D295" s="10" t="n"/>
      <c r="E295" s="11">
        <f>IFERROR(VLOOKUP(D295,Recursos!$A$3:$F$100,2,FALSE),"")</f>
        <v/>
      </c>
      <c r="F295" s="10" t="n"/>
      <c r="G295" s="10" t="n"/>
      <c r="H295" s="14" t="n">
        <v>0</v>
      </c>
      <c r="I295" s="11">
        <f>IF(F295="Labor",IF(C295="USD",IFERROR(VLOOKUP(D295,Recursos!$A$3:$F$100,4,FALSE),""),IFERROR(VLOOKUP(D295,Recursos!$A$3:$F$100,5,FALSE),"")),"")</f>
        <v/>
      </c>
      <c r="J295" s="10" t="n">
        <v>0</v>
      </c>
      <c r="K295" s="11">
        <f>IF(F295="Labor",IF(C295="USD",H295*I295,(H295*I295)/Setup!$B$7),IF(C295="USD",J295,J295/Setup!$B$7))</f>
        <v/>
      </c>
      <c r="L295" s="11">
        <f>K295*Setup!$B$7</f>
        <v/>
      </c>
      <c r="M295" s="10" t="n"/>
      <c r="N295" s="10" t="inlineStr">
        <is>
          <t>S</t>
        </is>
      </c>
      <c r="O295" s="10" t="n"/>
      <c r="P295" s="10" t="n"/>
    </row>
    <row r="296">
      <c r="A296" s="10" t="n"/>
      <c r="B296" s="11">
        <f>IF(A296="","",TEXT(A296,"yyyy-mm"))</f>
        <v/>
      </c>
      <c r="C296" s="10" t="inlineStr">
        <is>
          <t>USD</t>
        </is>
      </c>
      <c r="D296" s="10" t="n"/>
      <c r="E296" s="11">
        <f>IFERROR(VLOOKUP(D296,Recursos!$A$3:$F$100,2,FALSE),"")</f>
        <v/>
      </c>
      <c r="F296" s="10" t="n"/>
      <c r="G296" s="10" t="n"/>
      <c r="H296" s="14" t="n">
        <v>0</v>
      </c>
      <c r="I296" s="11">
        <f>IF(F296="Labor",IF(C296="USD",IFERROR(VLOOKUP(D296,Recursos!$A$3:$F$100,4,FALSE),""),IFERROR(VLOOKUP(D296,Recursos!$A$3:$F$100,5,FALSE),"")),"")</f>
        <v/>
      </c>
      <c r="J296" s="10" t="n">
        <v>0</v>
      </c>
      <c r="K296" s="11">
        <f>IF(F296="Labor",IF(C296="USD",H296*I296,(H296*I296)/Setup!$B$7),IF(C296="USD",J296,J296/Setup!$B$7))</f>
        <v/>
      </c>
      <c r="L296" s="11">
        <f>K296*Setup!$B$7</f>
        <v/>
      </c>
      <c r="M296" s="10" t="n"/>
      <c r="N296" s="10" t="inlineStr">
        <is>
          <t>S</t>
        </is>
      </c>
      <c r="O296" s="10" t="n"/>
      <c r="P296" s="10" t="n"/>
    </row>
    <row r="297">
      <c r="A297" s="10" t="n"/>
      <c r="B297" s="11">
        <f>IF(A297="","",TEXT(A297,"yyyy-mm"))</f>
        <v/>
      </c>
      <c r="C297" s="10" t="inlineStr">
        <is>
          <t>USD</t>
        </is>
      </c>
      <c r="D297" s="10" t="n"/>
      <c r="E297" s="11">
        <f>IFERROR(VLOOKUP(D297,Recursos!$A$3:$F$100,2,FALSE),"")</f>
        <v/>
      </c>
      <c r="F297" s="10" t="n"/>
      <c r="G297" s="10" t="n"/>
      <c r="H297" s="14" t="n">
        <v>0</v>
      </c>
      <c r="I297" s="11">
        <f>IF(F297="Labor",IF(C297="USD",IFERROR(VLOOKUP(D297,Recursos!$A$3:$F$100,4,FALSE),""),IFERROR(VLOOKUP(D297,Recursos!$A$3:$F$100,5,FALSE),"")),"")</f>
        <v/>
      </c>
      <c r="J297" s="10" t="n">
        <v>0</v>
      </c>
      <c r="K297" s="11">
        <f>IF(F297="Labor",IF(C297="USD",H297*I297,(H297*I297)/Setup!$B$7),IF(C297="USD",J297,J297/Setup!$B$7))</f>
        <v/>
      </c>
      <c r="L297" s="11">
        <f>K297*Setup!$B$7</f>
        <v/>
      </c>
      <c r="M297" s="10" t="n"/>
      <c r="N297" s="10" t="inlineStr">
        <is>
          <t>S</t>
        </is>
      </c>
      <c r="O297" s="10" t="n"/>
      <c r="P297" s="10" t="n"/>
    </row>
    <row r="298">
      <c r="A298" s="10" t="n"/>
      <c r="B298" s="11">
        <f>IF(A298="","",TEXT(A298,"yyyy-mm"))</f>
        <v/>
      </c>
      <c r="C298" s="10" t="inlineStr">
        <is>
          <t>USD</t>
        </is>
      </c>
      <c r="D298" s="10" t="n"/>
      <c r="E298" s="11">
        <f>IFERROR(VLOOKUP(D298,Recursos!$A$3:$F$100,2,FALSE),"")</f>
        <v/>
      </c>
      <c r="F298" s="10" t="n"/>
      <c r="G298" s="10" t="n"/>
      <c r="H298" s="14" t="n">
        <v>0</v>
      </c>
      <c r="I298" s="11">
        <f>IF(F298="Labor",IF(C298="USD",IFERROR(VLOOKUP(D298,Recursos!$A$3:$F$100,4,FALSE),""),IFERROR(VLOOKUP(D298,Recursos!$A$3:$F$100,5,FALSE),"")),"")</f>
        <v/>
      </c>
      <c r="J298" s="10" t="n">
        <v>0</v>
      </c>
      <c r="K298" s="11">
        <f>IF(F298="Labor",IF(C298="USD",H298*I298,(H298*I298)/Setup!$B$7),IF(C298="USD",J298,J298/Setup!$B$7))</f>
        <v/>
      </c>
      <c r="L298" s="11">
        <f>K298*Setup!$B$7</f>
        <v/>
      </c>
      <c r="M298" s="10" t="n"/>
      <c r="N298" s="10" t="inlineStr">
        <is>
          <t>S</t>
        </is>
      </c>
      <c r="O298" s="10" t="n"/>
      <c r="P298" s="10" t="n"/>
    </row>
    <row r="299">
      <c r="A299" s="10" t="n"/>
      <c r="B299" s="11">
        <f>IF(A299="","",TEXT(A299,"yyyy-mm"))</f>
        <v/>
      </c>
      <c r="C299" s="10" t="inlineStr">
        <is>
          <t>USD</t>
        </is>
      </c>
      <c r="D299" s="10" t="n"/>
      <c r="E299" s="11">
        <f>IFERROR(VLOOKUP(D299,Recursos!$A$3:$F$100,2,FALSE),"")</f>
        <v/>
      </c>
      <c r="F299" s="10" t="n"/>
      <c r="G299" s="10" t="n"/>
      <c r="H299" s="14" t="n">
        <v>0</v>
      </c>
      <c r="I299" s="11">
        <f>IF(F299="Labor",IF(C299="USD",IFERROR(VLOOKUP(D299,Recursos!$A$3:$F$100,4,FALSE),""),IFERROR(VLOOKUP(D299,Recursos!$A$3:$F$100,5,FALSE),"")),"")</f>
        <v/>
      </c>
      <c r="J299" s="10" t="n">
        <v>0</v>
      </c>
      <c r="K299" s="11">
        <f>IF(F299="Labor",IF(C299="USD",H299*I299,(H299*I299)/Setup!$B$7),IF(C299="USD",J299,J299/Setup!$B$7))</f>
        <v/>
      </c>
      <c r="L299" s="11">
        <f>K299*Setup!$B$7</f>
        <v/>
      </c>
      <c r="M299" s="10" t="n"/>
      <c r="N299" s="10" t="inlineStr">
        <is>
          <t>S</t>
        </is>
      </c>
      <c r="O299" s="10" t="n"/>
      <c r="P299" s="10" t="n"/>
    </row>
    <row r="300">
      <c r="A300" s="10" t="n"/>
      <c r="B300" s="11">
        <f>IF(A300="","",TEXT(A300,"yyyy-mm"))</f>
        <v/>
      </c>
      <c r="C300" s="10" t="inlineStr">
        <is>
          <t>USD</t>
        </is>
      </c>
      <c r="D300" s="10" t="n"/>
      <c r="E300" s="11">
        <f>IFERROR(VLOOKUP(D300,Recursos!$A$3:$F$100,2,FALSE),"")</f>
        <v/>
      </c>
      <c r="F300" s="10" t="n"/>
      <c r="G300" s="10" t="n"/>
      <c r="H300" s="14" t="n">
        <v>0</v>
      </c>
      <c r="I300" s="11">
        <f>IF(F300="Labor",IF(C300="USD",IFERROR(VLOOKUP(D300,Recursos!$A$3:$F$100,4,FALSE),""),IFERROR(VLOOKUP(D300,Recursos!$A$3:$F$100,5,FALSE),"")),"")</f>
        <v/>
      </c>
      <c r="J300" s="10" t="n">
        <v>0</v>
      </c>
      <c r="K300" s="11">
        <f>IF(F300="Labor",IF(C300="USD",H300*I300,(H300*I300)/Setup!$B$7),IF(C300="USD",J300,J300/Setup!$B$7))</f>
        <v/>
      </c>
      <c r="L300" s="11">
        <f>K300*Setup!$B$7</f>
        <v/>
      </c>
      <c r="M300" s="10" t="n"/>
      <c r="N300" s="10" t="inlineStr">
        <is>
          <t>S</t>
        </is>
      </c>
      <c r="O300" s="10" t="n"/>
      <c r="P300" s="10" t="n"/>
    </row>
    <row r="301">
      <c r="A301" s="10" t="n"/>
      <c r="B301" s="11">
        <f>IF(A301="","",TEXT(A301,"yyyy-mm"))</f>
        <v/>
      </c>
      <c r="C301" s="10" t="inlineStr">
        <is>
          <t>USD</t>
        </is>
      </c>
      <c r="D301" s="10" t="n"/>
      <c r="E301" s="11">
        <f>IFERROR(VLOOKUP(D301,Recursos!$A$3:$F$100,2,FALSE),"")</f>
        <v/>
      </c>
      <c r="F301" s="10" t="n"/>
      <c r="G301" s="10" t="n"/>
      <c r="H301" s="14" t="n">
        <v>0</v>
      </c>
      <c r="I301" s="11">
        <f>IF(F301="Labor",IF(C301="USD",IFERROR(VLOOKUP(D301,Recursos!$A$3:$F$100,4,FALSE),""),IFERROR(VLOOKUP(D301,Recursos!$A$3:$F$100,5,FALSE),"")),"")</f>
        <v/>
      </c>
      <c r="J301" s="10" t="n">
        <v>0</v>
      </c>
      <c r="K301" s="11">
        <f>IF(F301="Labor",IF(C301="USD",H301*I301,(H301*I301)/Setup!$B$7),IF(C301="USD",J301,J301/Setup!$B$7))</f>
        <v/>
      </c>
      <c r="L301" s="11">
        <f>K301*Setup!$B$7</f>
        <v/>
      </c>
      <c r="M301" s="10" t="n"/>
      <c r="N301" s="10" t="inlineStr">
        <is>
          <t>S</t>
        </is>
      </c>
      <c r="O301" s="10" t="n"/>
      <c r="P301" s="10" t="n"/>
    </row>
    <row r="302">
      <c r="A302" s="10" t="n"/>
      <c r="B302" s="11">
        <f>IF(A302="","",TEXT(A302,"yyyy-mm"))</f>
        <v/>
      </c>
      <c r="C302" s="10" t="inlineStr">
        <is>
          <t>USD</t>
        </is>
      </c>
      <c r="D302" s="10" t="n"/>
      <c r="E302" s="11">
        <f>IFERROR(VLOOKUP(D302,Recursos!$A$3:$F$100,2,FALSE),"")</f>
        <v/>
      </c>
      <c r="F302" s="10" t="n"/>
      <c r="G302" s="10" t="n"/>
      <c r="H302" s="14" t="n">
        <v>0</v>
      </c>
      <c r="I302" s="11">
        <f>IF(F302="Labor",IF(C302="USD",IFERROR(VLOOKUP(D302,Recursos!$A$3:$F$100,4,FALSE),""),IFERROR(VLOOKUP(D302,Recursos!$A$3:$F$100,5,FALSE),"")),"")</f>
        <v/>
      </c>
      <c r="J302" s="10" t="n">
        <v>0</v>
      </c>
      <c r="K302" s="11">
        <f>IF(F302="Labor",IF(C302="USD",H302*I302,(H302*I302)/Setup!$B$7),IF(C302="USD",J302,J302/Setup!$B$7))</f>
        <v/>
      </c>
      <c r="L302" s="11">
        <f>K302*Setup!$B$7</f>
        <v/>
      </c>
      <c r="M302" s="10" t="n"/>
      <c r="N302" s="10" t="inlineStr">
        <is>
          <t>S</t>
        </is>
      </c>
      <c r="O302" s="10" t="n"/>
      <c r="P302" s="10" t="n"/>
    </row>
  </sheetData>
  <mergeCells count="1">
    <mergeCell ref="A1:P1"/>
  </mergeCells>
  <dataValidations count="4">
    <dataValidation sqref="C3 C4 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C106 C107 C108 C109 C110 C111 C112 C113 C114 C115 C116 C117 C118 C119 C120 C121 C122 C123 C124 C125 C126 C127 C128 C129 C130 C131 C132 C133 C134 C135 C136 C137 C138 C139 C140 C141 C142 C143 C144 C145 C146 C147 C148 C149 C150 C151 C152 C153 C154 C155 C156 C157 C158 C159 C160 C161 C162 C163 C164 C165 C166 C167 C168 C169 C170 C171 C172 C173 C174 C175 C176 C177 C178 C179 C180 C181 C182 C183 C184 C185 C186 C187 C188 C189 C190 C191 C192 C193 C194 C195 C196 C197 C198 C199 C200 C201 C202 C203 C204 C205 C206 C207 C208 C209 C210 C211 C212 C213 C214 C215 C216 C217 C218 C219 C220 C221 C222 C223 C224 C225 C226 C227 C228 C229 C230 C231 C232 C233 C234 C235 C236 C237 C238 C239 C240 C241 C242 C243 C244 C245 C246 C247 C248 C249 C250 C251 C252 C253 C254 C255 C256 C257 C258 C259 C260 C261 C262 C263 C264 C265 C266 C267 C268 C269 C270 C271 C272 C273 C274 C275 C276 C277 C278 C279 C280 C281 C282 C283 C284 C285 C286 C287 C288 C289 C290 C291 C292 C293 C294 C295 C296 C297 C298 C299 C300 C301 C302" showDropDown="0" showInputMessage="0" showErrorMessage="0" allowBlank="0" type="list">
      <formula1>"USD,COP"</formula1>
    </dataValidation>
    <dataValidation sqref="F3 F4 F5 F6 F7 F8 F9 F10 F11 F12 F13 F14 F15 F16 F17 F18 F19 F20 F21 F22 F23 F24 F25 F26 F27 F28 F29 F30 F31 F32 F33 F34 F35 F36 F37 F38 F39 F40 F41 F42 F43 F44 F45 F46 F47 F48 F49 F50 F51 F52 F53 F54 F55 F56 F57 F58 F59 F60 F61 F62 F63 F64 F65 F66 F67 F68 F69 F70 F71 F72 F73 F74 F75 F76 F77 F78 F79 F80 F81 F82 F83 F84 F85 F86 F87 F88 F89 F90 F91 F92 F93 F94 F95 F96 F97 F98 F99 F100 F101 F102 F103 F104 F105 F106 F107 F108 F109 F110 F111 F112 F113 F114 F115 F116 F117 F118 F119 F120 F121 F122 F123 F124 F125 F126 F127 F128 F129 F130 F131 F132 F133 F134 F135 F136 F137 F138 F139 F140 F141 F142 F143 F144 F145 F146 F147 F148 F149 F150 F151 F152 F153 F154 F155 F156 F157 F158 F159 F160 F161 F162 F163 F164 F165 F166 F167 F168 F169 F170 F171 F172 F173 F174 F175 F176 F177 F178 F179 F180 F181 F182 F183 F184 F185 F186 F187 F188 F189 F190 F191 F192 F193 F194 F195 F196 F197 F198 F199 F200 F201 F202 F203 F204 F205 F206 F207 F208 F209 F210 F211 F212 F213 F214 F215 F216 F217 F218 F219 F220 F221 F222 F223 F224 F225 F226 F227 F228 F229 F230 F231 F232 F233 F234 F235 F236 F237 F238 F239 F240 F241 F242 F243 F244 F245 F246 F247 F248 F249 F250 F251 F252 F253 F254 F255 F256 F257 F258 F259 F260 F261 F262 F263 F264 F265 F266 F267 F268 F269 F270 F271 F272 F273 F274 F275 F276 F277 F278 F279 F280 F281 F282 F283 F284 F285 F286 F287 F288 F289 F290 F291 F292 F293 F294 F295 F296 F297 F298 F299 F300 F301 F302" showDropDown="0" showInputMessage="0" showErrorMessage="0" allowBlank="1" type="list">
      <formula1>"Labor,Transporte,Entrenamiento,Viaticos,Riesgo,Licencias,Infra,Otros"</formula1>
    </dataValidation>
    <dataValidation sqref="N3 N4 N5 N6 N7 N8 N9 N10 N11 N12 N13 N14 N15 N16 N17 N18 N19 N20 N21 N22 N23 N24 N25 N26 N27 N28 N29 N30 N31 N32 N33 N34 N35 N36 N37 N38 N39 N40 N41 N42 N43 N44 N45 N46 N47 N48 N49 N50 N51 N52 N53 N54 N55 N56 N57 N58 N59 N60 N61 N62 N63 N64 N65 N66 N67 N68 N69 N70 N71 N72 N73 N74 N75 N76 N77 N78 N79 N80 N81 N82 N83 N84 N85 N86 N87 N88 N89 N90 N91 N92 N93 N94 N95 N96 N97 N98 N99 N100 N101 N102 N103 N104 N105 N106 N107 N108 N109 N110 N111 N112 N113 N114 N115 N116 N117 N118 N119 N120 N121 N122 N123 N124 N125 N126 N127 N128 N129 N130 N131 N132 N133 N134 N135 N136 N137 N138 N139 N140 N141 N142 N143 N144 N145 N146 N147 N148 N149 N150 N151 N152 N153 N154 N155 N156 N157 N158 N159 N160 N161 N162 N163 N164 N165 N166 N167 N168 N169 N170 N171 N172 N173 N174 N175 N176 N177 N178 N179 N180 N181 N182 N183 N184 N185 N186 N187 N188 N189 N190 N191 N192 N193 N194 N195 N196 N197 N198 N199 N200 N201 N202 N203 N204 N205 N206 N207 N208 N209 N210 N211 N212 N213 N214 N215 N216 N217 N218 N219 N220 N221 N222 N223 N224 N225 N226 N227 N228 N229 N230 N231 N232 N233 N234 N235 N236 N237 N238 N239 N240 N241 N242 N243 N244 N245 N246 N247 N248 N249 N250 N251 N252 N253 N254 N255 N256 N257 N258 N259 N260 N261 N262 N263 N264 N265 N266 N267 N268 N269 N270 N271 N272 N273 N274 N275 N276 N277 N278 N279 N280 N281 N282 N283 N284 N285 N286 N287 N288 N289 N290 N291 N292 N293 N294 N295 N296 N297 N298 N299 N300 N301 N302" showDropDown="0" showInputMessage="0" showErrorMessage="0" allowBlank="1" type="list">
      <formula1>"S,N"</formula1>
    </dataValidation>
    <dataValidation sqref="D3 D4 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D105 D106 D107 D108 D109 D110 D111 D112 D113 D114 D115 D116 D117 D118 D119 D120 D121 D122 D123 D124 D125 D126 D127 D128 D129 D130 D131 D132 D133 D134 D135 D136 D137 D138 D139 D140 D141 D142 D143 D144 D145 D146 D147 D148 D149 D150 D151 D152 D153 D154 D155 D156 D157 D158 D159 D160 D161 D162 D163 D164 D165 D166 D167 D168 D169 D170 D171 D172 D173 D174 D175 D176 D177 D178 D179 D180 D181 D182 D183 D184 D185 D186 D187 D188 D189 D190 D191 D192 D193 D194 D195 D196 D197 D198 D199 D200 D201 D202 D203 D204 D205 D206 D207 D208 D209 D210 D211 D212 D213 D214 D215 D216 D217 D218 D219 D220 D221 D222 D223 D224 D225 D226 D227 D228 D229 D230 D231 D232 D233 D234 D235 D236 D237 D238 D239 D240 D241 D242 D243 D244 D245 D246 D247 D248 D249 D250 D251 D252 D253 D254 D255 D256 D257 D258 D259 D260 D261 D262 D263 D264 D265 D266 D267 D268 D269 D270 D271 D272 D273 D274 D275 D276 D277 D278 D279 D280 D281 D282 D283 D284 D285 D286 D287 D288 D289 D290 D291 D292 D293 D294 D295 D296 D297 D298 D299 D300 D301 D302" showDropDown="0" showInputMessage="0" showErrorMessage="0" allowBlank="1" type="list">
      <formula1>=Recursos!$A$3:$A$100</formula1>
    </dataValidation>
  </dataValidations>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Q14"/>
  <sheetViews>
    <sheetView showGridLines="0" zoomScale="110" workbookViewId="0">
      <pane ySplit="2" topLeftCell="A3" activePane="bottomLeft" state="frozen"/>
      <selection pane="bottomLeft" activeCell="A1" sqref="A1"/>
    </sheetView>
  </sheetViews>
  <sheetFormatPr baseColWidth="8" defaultRowHeight="15"/>
  <cols>
    <col width="12" customWidth="1" min="1" max="1"/>
    <col width="14" customWidth="1" min="2" max="2"/>
    <col width="14" customWidth="1" min="3" max="3"/>
    <col width="14" customWidth="1" min="4" max="4"/>
    <col width="16" customWidth="1" min="5" max="5"/>
    <col width="16" customWidth="1" min="6" max="6"/>
    <col width="12" customWidth="1" min="7" max="7"/>
    <col width="12" customWidth="1" min="8" max="8"/>
    <col width="16" customWidth="1" min="9" max="9"/>
    <col width="16" customWidth="1" min="10" max="10"/>
    <col width="16" customWidth="1" min="11" max="11"/>
    <col width="14" customWidth="1" min="12" max="12"/>
    <col width="16" customWidth="1" min="13" max="13"/>
    <col width="16" customWidth="1" min="14" max="14"/>
    <col width="12" customWidth="1" min="15" max="15"/>
    <col width="14" customWidth="1" min="16" max="16"/>
    <col width="16" customWidth="1" min="17" max="17"/>
  </cols>
  <sheetData>
    <row r="1" ht="28" customHeight="1">
      <c r="A1" s="1" t="inlineStr">
        <is>
          <t>Resumen mensual — Budget vs Actual (USD y COP) + proyección</t>
        </is>
      </c>
      <c r="B1" s="31" t="n"/>
      <c r="C1" s="31" t="n"/>
      <c r="D1" s="31" t="n"/>
      <c r="E1" s="31" t="n"/>
      <c r="F1" s="31" t="n"/>
      <c r="G1" s="31" t="n"/>
      <c r="H1" s="31" t="n"/>
      <c r="I1" s="31" t="n"/>
      <c r="J1" s="31" t="n"/>
      <c r="K1" s="31" t="n"/>
      <c r="L1" s="31" t="n"/>
      <c r="M1" s="31" t="n"/>
      <c r="N1" s="31" t="n"/>
      <c r="O1" s="31" t="n"/>
      <c r="P1" s="31" t="n"/>
      <c r="Q1" s="32" t="n"/>
    </row>
    <row r="2">
      <c r="A2" s="8" t="inlineStr">
        <is>
          <t>Mes</t>
        </is>
      </c>
      <c r="B2" s="8" t="inlineStr">
        <is>
          <t>Budget USD</t>
        </is>
      </c>
      <c r="C2" s="8" t="inlineStr">
        <is>
          <t>Actual USD</t>
        </is>
      </c>
      <c r="D2" s="8" t="inlineStr">
        <is>
          <t>% Consumido (USD)</t>
        </is>
      </c>
      <c r="E2" s="8" t="inlineStr">
        <is>
          <t>Budget Acum USD</t>
        </is>
      </c>
      <c r="F2" s="8" t="inlineStr">
        <is>
          <t>Actual Acum USD</t>
        </is>
      </c>
      <c r="G2" s="8" t="inlineStr">
        <is>
          <t>Var USD</t>
        </is>
      </c>
      <c r="H2" s="8" t="inlineStr">
        <is>
          <t>EAC USD</t>
        </is>
      </c>
      <c r="I2" s="8" t="inlineStr">
        <is>
          <t>%EAC/Budget (USD)</t>
        </is>
      </c>
      <c r="J2" s="8" t="inlineStr">
        <is>
          <t>Budget COP</t>
        </is>
      </c>
      <c r="K2" s="8" t="inlineStr">
        <is>
          <t>Actual COP</t>
        </is>
      </c>
      <c r="L2" s="8" t="inlineStr">
        <is>
          <t>% Consumido (COP)</t>
        </is>
      </c>
      <c r="M2" s="8" t="inlineStr">
        <is>
          <t>Budget Acum COP</t>
        </is>
      </c>
      <c r="N2" s="8" t="inlineStr">
        <is>
          <t>Actual Acum COP</t>
        </is>
      </c>
      <c r="O2" s="8" t="inlineStr">
        <is>
          <t>Var COP</t>
        </is>
      </c>
      <c r="P2" s="8" t="inlineStr">
        <is>
          <t>EAC COP</t>
        </is>
      </c>
      <c r="Q2" s="8" t="inlineStr">
        <is>
          <t>%EAC/Budget (COP)</t>
        </is>
      </c>
    </row>
    <row r="3">
      <c r="A3" s="10" t="inlineStr">
        <is>
          <t>2026-01</t>
        </is>
      </c>
      <c r="B3" s="15">
        <f>SUMPRODUCT(Plan_Horas!$E$3:$E$52,Plan_Horas!$C$3:$C$52)</f>
        <v/>
      </c>
      <c r="C3" s="15">
        <f>SUMIFS(Gastos_Actuales!$K:$K,Gastos_Actuales!$B:$B,$A3)</f>
        <v/>
      </c>
      <c r="D3" s="16">
        <f>IF(B3=0,0,C3/B3)</f>
        <v/>
      </c>
      <c r="E3" s="15">
        <f>SUM($B$3:B3)</f>
        <v/>
      </c>
      <c r="F3" s="15">
        <f>SUM($C$3:C3)</f>
        <v/>
      </c>
      <c r="G3" s="15">
        <f>F3-E3</f>
        <v/>
      </c>
      <c r="H3" s="15">
        <f>F3+(SUM($B$3:$B$14)-E3)</f>
        <v/>
      </c>
      <c r="I3" s="16">
        <f>IF(SUM($B$3:$B$14)=0,0,H3/SUM($B$3:$B$14))</f>
        <v/>
      </c>
      <c r="J3" s="17">
        <f>B3*Setup!$B$7</f>
        <v/>
      </c>
      <c r="K3" s="17">
        <f>C3*Setup!$B$7</f>
        <v/>
      </c>
      <c r="L3" s="16">
        <f>IF(J3=0,0,K3/J3)</f>
        <v/>
      </c>
      <c r="M3" s="17">
        <f>E3*Setup!$B$7</f>
        <v/>
      </c>
      <c r="N3" s="17">
        <f>F3*Setup!$B$7</f>
        <v/>
      </c>
      <c r="O3" s="17">
        <f>N3-M3</f>
        <v/>
      </c>
      <c r="P3" s="17">
        <f>H3*Setup!$B$7</f>
        <v/>
      </c>
      <c r="Q3" s="16">
        <f>IF(SUM($J$3:$J$14)=0,0,P3/SUM($J$3:$J$14))</f>
        <v/>
      </c>
    </row>
    <row r="4">
      <c r="A4" s="10" t="inlineStr">
        <is>
          <t>2026-02</t>
        </is>
      </c>
      <c r="B4" s="15">
        <f>SUMPRODUCT(Plan_Horas!$F$3:$F$52,Plan_Horas!$C$3:$C$52)</f>
        <v/>
      </c>
      <c r="C4" s="15">
        <f>SUMIFS(Gastos_Actuales!$K:$K,Gastos_Actuales!$B:$B,$A4)</f>
        <v/>
      </c>
      <c r="D4" s="16">
        <f>IF(B4=0,0,C4/B4)</f>
        <v/>
      </c>
      <c r="E4" s="15">
        <f>SUM($B$3:B4)</f>
        <v/>
      </c>
      <c r="F4" s="15">
        <f>SUM($C$3:C4)</f>
        <v/>
      </c>
      <c r="G4" s="15">
        <f>F4-E4</f>
        <v/>
      </c>
      <c r="H4" s="15">
        <f>F4+(SUM($B$3:$B$14)-E4)</f>
        <v/>
      </c>
      <c r="I4" s="16">
        <f>IF(SUM($B$3:$B$14)=0,0,H4/SUM($B$3:$B$14))</f>
        <v/>
      </c>
      <c r="J4" s="17">
        <f>B4*Setup!$B$7</f>
        <v/>
      </c>
      <c r="K4" s="17">
        <f>C4*Setup!$B$7</f>
        <v/>
      </c>
      <c r="L4" s="16">
        <f>IF(J4=0,0,K4/J4)</f>
        <v/>
      </c>
      <c r="M4" s="17">
        <f>E4*Setup!$B$7</f>
        <v/>
      </c>
      <c r="N4" s="17">
        <f>F4*Setup!$B$7</f>
        <v/>
      </c>
      <c r="O4" s="17">
        <f>N4-M4</f>
        <v/>
      </c>
      <c r="P4" s="17">
        <f>H4*Setup!$B$7</f>
        <v/>
      </c>
      <c r="Q4" s="16">
        <f>IF(SUM($J$3:$J$14)=0,0,P4/SUM($J$3:$J$14))</f>
        <v/>
      </c>
    </row>
    <row r="5">
      <c r="A5" s="10" t="inlineStr">
        <is>
          <t>2026-03</t>
        </is>
      </c>
      <c r="B5" s="15">
        <f>SUMPRODUCT(Plan_Horas!$G$3:$G$52,Plan_Horas!$C$3:$C$52)</f>
        <v/>
      </c>
      <c r="C5" s="15">
        <f>SUMIFS(Gastos_Actuales!$K:$K,Gastos_Actuales!$B:$B,$A5)</f>
        <v/>
      </c>
      <c r="D5" s="16">
        <f>IF(B5=0,0,C5/B5)</f>
        <v/>
      </c>
      <c r="E5" s="15">
        <f>SUM($B$3:B5)</f>
        <v/>
      </c>
      <c r="F5" s="15">
        <f>SUM($C$3:C5)</f>
        <v/>
      </c>
      <c r="G5" s="15">
        <f>F5-E5</f>
        <v/>
      </c>
      <c r="H5" s="15">
        <f>F5+(SUM($B$3:$B$14)-E5)</f>
        <v/>
      </c>
      <c r="I5" s="16">
        <f>IF(SUM($B$3:$B$14)=0,0,H5/SUM($B$3:$B$14))</f>
        <v/>
      </c>
      <c r="J5" s="17">
        <f>B5*Setup!$B$7</f>
        <v/>
      </c>
      <c r="K5" s="17">
        <f>C5*Setup!$B$7</f>
        <v/>
      </c>
      <c r="L5" s="16">
        <f>IF(J5=0,0,K5/J5)</f>
        <v/>
      </c>
      <c r="M5" s="17">
        <f>E5*Setup!$B$7</f>
        <v/>
      </c>
      <c r="N5" s="17">
        <f>F5*Setup!$B$7</f>
        <v/>
      </c>
      <c r="O5" s="17">
        <f>N5-M5</f>
        <v/>
      </c>
      <c r="P5" s="17">
        <f>H5*Setup!$B$7</f>
        <v/>
      </c>
      <c r="Q5" s="16">
        <f>IF(SUM($J$3:$J$14)=0,0,P5/SUM($J$3:$J$14))</f>
        <v/>
      </c>
    </row>
    <row r="6">
      <c r="A6" s="10" t="inlineStr">
        <is>
          <t>2026-04</t>
        </is>
      </c>
      <c r="B6" s="15">
        <f>SUMPRODUCT(Plan_Horas!$H$3:$H$52,Plan_Horas!$C$3:$C$52)</f>
        <v/>
      </c>
      <c r="C6" s="15">
        <f>SUMIFS(Gastos_Actuales!$K:$K,Gastos_Actuales!$B:$B,$A6)</f>
        <v/>
      </c>
      <c r="D6" s="16">
        <f>IF(B6=0,0,C6/B6)</f>
        <v/>
      </c>
      <c r="E6" s="15">
        <f>SUM($B$3:B6)</f>
        <v/>
      </c>
      <c r="F6" s="15">
        <f>SUM($C$3:C6)</f>
        <v/>
      </c>
      <c r="G6" s="15">
        <f>F6-E6</f>
        <v/>
      </c>
      <c r="H6" s="15">
        <f>F6+(SUM($B$3:$B$14)-E6)</f>
        <v/>
      </c>
      <c r="I6" s="16">
        <f>IF(SUM($B$3:$B$14)=0,0,H6/SUM($B$3:$B$14))</f>
        <v/>
      </c>
      <c r="J6" s="17">
        <f>B6*Setup!$B$7</f>
        <v/>
      </c>
      <c r="K6" s="17">
        <f>C6*Setup!$B$7</f>
        <v/>
      </c>
      <c r="L6" s="16">
        <f>IF(J6=0,0,K6/J6)</f>
        <v/>
      </c>
      <c r="M6" s="17">
        <f>E6*Setup!$B$7</f>
        <v/>
      </c>
      <c r="N6" s="17">
        <f>F6*Setup!$B$7</f>
        <v/>
      </c>
      <c r="O6" s="17">
        <f>N6-M6</f>
        <v/>
      </c>
      <c r="P6" s="17">
        <f>H6*Setup!$B$7</f>
        <v/>
      </c>
      <c r="Q6" s="16">
        <f>IF(SUM($J$3:$J$14)=0,0,P6/SUM($J$3:$J$14))</f>
        <v/>
      </c>
    </row>
    <row r="7">
      <c r="A7" s="10" t="inlineStr">
        <is>
          <t>2026-05</t>
        </is>
      </c>
      <c r="B7" s="15">
        <f>SUMPRODUCT(Plan_Horas!$I$3:$I$52,Plan_Horas!$C$3:$C$52)</f>
        <v/>
      </c>
      <c r="C7" s="15">
        <f>SUMIFS(Gastos_Actuales!$K:$K,Gastos_Actuales!$B:$B,$A7)</f>
        <v/>
      </c>
      <c r="D7" s="16">
        <f>IF(B7=0,0,C7/B7)</f>
        <v/>
      </c>
      <c r="E7" s="15">
        <f>SUM($B$3:B7)</f>
        <v/>
      </c>
      <c r="F7" s="15">
        <f>SUM($C$3:C7)</f>
        <v/>
      </c>
      <c r="G7" s="15">
        <f>F7-E7</f>
        <v/>
      </c>
      <c r="H7" s="15">
        <f>F7+(SUM($B$3:$B$14)-E7)</f>
        <v/>
      </c>
      <c r="I7" s="16">
        <f>IF(SUM($B$3:$B$14)=0,0,H7/SUM($B$3:$B$14))</f>
        <v/>
      </c>
      <c r="J7" s="17">
        <f>B7*Setup!$B$7</f>
        <v/>
      </c>
      <c r="K7" s="17">
        <f>C7*Setup!$B$7</f>
        <v/>
      </c>
      <c r="L7" s="16">
        <f>IF(J7=0,0,K7/J7)</f>
        <v/>
      </c>
      <c r="M7" s="17">
        <f>E7*Setup!$B$7</f>
        <v/>
      </c>
      <c r="N7" s="17">
        <f>F7*Setup!$B$7</f>
        <v/>
      </c>
      <c r="O7" s="17">
        <f>N7-M7</f>
        <v/>
      </c>
      <c r="P7" s="17">
        <f>H7*Setup!$B$7</f>
        <v/>
      </c>
      <c r="Q7" s="16">
        <f>IF(SUM($J$3:$J$14)=0,0,P7/SUM($J$3:$J$14))</f>
        <v/>
      </c>
    </row>
    <row r="8">
      <c r="A8" s="10" t="inlineStr">
        <is>
          <t>2026-06</t>
        </is>
      </c>
      <c r="B8" s="15">
        <f>SUMPRODUCT(Plan_Horas!$J$3:$J$52,Plan_Horas!$C$3:$C$52)</f>
        <v/>
      </c>
      <c r="C8" s="15">
        <f>SUMIFS(Gastos_Actuales!$K:$K,Gastos_Actuales!$B:$B,$A8)</f>
        <v/>
      </c>
      <c r="D8" s="16">
        <f>IF(B8=0,0,C8/B8)</f>
        <v/>
      </c>
      <c r="E8" s="15">
        <f>SUM($B$3:B8)</f>
        <v/>
      </c>
      <c r="F8" s="15">
        <f>SUM($C$3:C8)</f>
        <v/>
      </c>
      <c r="G8" s="15">
        <f>F8-E8</f>
        <v/>
      </c>
      <c r="H8" s="15">
        <f>F8+(SUM($B$3:$B$14)-E8)</f>
        <v/>
      </c>
      <c r="I8" s="16">
        <f>IF(SUM($B$3:$B$14)=0,0,H8/SUM($B$3:$B$14))</f>
        <v/>
      </c>
      <c r="J8" s="17">
        <f>B8*Setup!$B$7</f>
        <v/>
      </c>
      <c r="K8" s="17">
        <f>C8*Setup!$B$7</f>
        <v/>
      </c>
      <c r="L8" s="16">
        <f>IF(J8=0,0,K8/J8)</f>
        <v/>
      </c>
      <c r="M8" s="17">
        <f>E8*Setup!$B$7</f>
        <v/>
      </c>
      <c r="N8" s="17">
        <f>F8*Setup!$B$7</f>
        <v/>
      </c>
      <c r="O8" s="17">
        <f>N8-M8</f>
        <v/>
      </c>
      <c r="P8" s="17">
        <f>H8*Setup!$B$7</f>
        <v/>
      </c>
      <c r="Q8" s="16">
        <f>IF(SUM($J$3:$J$14)=0,0,P8/SUM($J$3:$J$14))</f>
        <v/>
      </c>
    </row>
    <row r="9">
      <c r="A9" s="10" t="inlineStr">
        <is>
          <t>2026-07</t>
        </is>
      </c>
      <c r="B9" s="15">
        <f>SUMPRODUCT(Plan_Horas!$K$3:$K$52,Plan_Horas!$C$3:$C$52)</f>
        <v/>
      </c>
      <c r="C9" s="15">
        <f>SUMIFS(Gastos_Actuales!$K:$K,Gastos_Actuales!$B:$B,$A9)</f>
        <v/>
      </c>
      <c r="D9" s="16">
        <f>IF(B9=0,0,C9/B9)</f>
        <v/>
      </c>
      <c r="E9" s="15">
        <f>SUM($B$3:B9)</f>
        <v/>
      </c>
      <c r="F9" s="15">
        <f>SUM($C$3:C9)</f>
        <v/>
      </c>
      <c r="G9" s="15">
        <f>F9-E9</f>
        <v/>
      </c>
      <c r="H9" s="15">
        <f>F9+(SUM($B$3:$B$14)-E9)</f>
        <v/>
      </c>
      <c r="I9" s="16">
        <f>IF(SUM($B$3:$B$14)=0,0,H9/SUM($B$3:$B$14))</f>
        <v/>
      </c>
      <c r="J9" s="17">
        <f>B9*Setup!$B$7</f>
        <v/>
      </c>
      <c r="K9" s="17">
        <f>C9*Setup!$B$7</f>
        <v/>
      </c>
      <c r="L9" s="16">
        <f>IF(J9=0,0,K9/J9)</f>
        <v/>
      </c>
      <c r="M9" s="17">
        <f>E9*Setup!$B$7</f>
        <v/>
      </c>
      <c r="N9" s="17">
        <f>F9*Setup!$B$7</f>
        <v/>
      </c>
      <c r="O9" s="17">
        <f>N9-M9</f>
        <v/>
      </c>
      <c r="P9" s="17">
        <f>H9*Setup!$B$7</f>
        <v/>
      </c>
      <c r="Q9" s="16">
        <f>IF(SUM($J$3:$J$14)=0,0,P9/SUM($J$3:$J$14))</f>
        <v/>
      </c>
    </row>
    <row r="10">
      <c r="A10" s="10" t="inlineStr">
        <is>
          <t>2026-08</t>
        </is>
      </c>
      <c r="B10" s="15">
        <f>SUMPRODUCT(Plan_Horas!$L$3:$L$52,Plan_Horas!$C$3:$C$52)</f>
        <v/>
      </c>
      <c r="C10" s="15">
        <f>SUMIFS(Gastos_Actuales!$K:$K,Gastos_Actuales!$B:$B,$A10)</f>
        <v/>
      </c>
      <c r="D10" s="16">
        <f>IF(B10=0,0,C10/B10)</f>
        <v/>
      </c>
      <c r="E10" s="15">
        <f>SUM($B$3:B10)</f>
        <v/>
      </c>
      <c r="F10" s="15">
        <f>SUM($C$3:C10)</f>
        <v/>
      </c>
      <c r="G10" s="15">
        <f>F10-E10</f>
        <v/>
      </c>
      <c r="H10" s="15">
        <f>F10+(SUM($B$3:$B$14)-E10)</f>
        <v/>
      </c>
      <c r="I10" s="16">
        <f>IF(SUM($B$3:$B$14)=0,0,H10/SUM($B$3:$B$14))</f>
        <v/>
      </c>
      <c r="J10" s="17">
        <f>B10*Setup!$B$7</f>
        <v/>
      </c>
      <c r="K10" s="17">
        <f>C10*Setup!$B$7</f>
        <v/>
      </c>
      <c r="L10" s="16">
        <f>IF(J10=0,0,K10/J10)</f>
        <v/>
      </c>
      <c r="M10" s="17">
        <f>E10*Setup!$B$7</f>
        <v/>
      </c>
      <c r="N10" s="17">
        <f>F10*Setup!$B$7</f>
        <v/>
      </c>
      <c r="O10" s="17">
        <f>N10-M10</f>
        <v/>
      </c>
      <c r="P10" s="17">
        <f>H10*Setup!$B$7</f>
        <v/>
      </c>
      <c r="Q10" s="16">
        <f>IF(SUM($J$3:$J$14)=0,0,P10/SUM($J$3:$J$14))</f>
        <v/>
      </c>
    </row>
    <row r="11">
      <c r="A11" s="10" t="inlineStr">
        <is>
          <t>2026-09</t>
        </is>
      </c>
      <c r="B11" s="15">
        <f>SUMPRODUCT(Plan_Horas!$M$3:$M$52,Plan_Horas!$C$3:$C$52)</f>
        <v/>
      </c>
      <c r="C11" s="15">
        <f>SUMIFS(Gastos_Actuales!$K:$K,Gastos_Actuales!$B:$B,$A11)</f>
        <v/>
      </c>
      <c r="D11" s="16">
        <f>IF(B11=0,0,C11/B11)</f>
        <v/>
      </c>
      <c r="E11" s="15">
        <f>SUM($B$3:B11)</f>
        <v/>
      </c>
      <c r="F11" s="15">
        <f>SUM($C$3:C11)</f>
        <v/>
      </c>
      <c r="G11" s="15">
        <f>F11-E11</f>
        <v/>
      </c>
      <c r="H11" s="15">
        <f>F11+(SUM($B$3:$B$14)-E11)</f>
        <v/>
      </c>
      <c r="I11" s="16">
        <f>IF(SUM($B$3:$B$14)=0,0,H11/SUM($B$3:$B$14))</f>
        <v/>
      </c>
      <c r="J11" s="17">
        <f>B11*Setup!$B$7</f>
        <v/>
      </c>
      <c r="K11" s="17">
        <f>C11*Setup!$B$7</f>
        <v/>
      </c>
      <c r="L11" s="16">
        <f>IF(J11=0,0,K11/J11)</f>
        <v/>
      </c>
      <c r="M11" s="17">
        <f>E11*Setup!$B$7</f>
        <v/>
      </c>
      <c r="N11" s="17">
        <f>F11*Setup!$B$7</f>
        <v/>
      </c>
      <c r="O11" s="17">
        <f>N11-M11</f>
        <v/>
      </c>
      <c r="P11" s="17">
        <f>H11*Setup!$B$7</f>
        <v/>
      </c>
      <c r="Q11" s="16">
        <f>IF(SUM($J$3:$J$14)=0,0,P11/SUM($J$3:$J$14))</f>
        <v/>
      </c>
    </row>
    <row r="12">
      <c r="A12" s="10" t="inlineStr">
        <is>
          <t>2026-10</t>
        </is>
      </c>
      <c r="B12" s="15">
        <f>SUMPRODUCT(Plan_Horas!$N$3:$N$52,Plan_Horas!$C$3:$C$52)</f>
        <v/>
      </c>
      <c r="C12" s="15">
        <f>SUMIFS(Gastos_Actuales!$K:$K,Gastos_Actuales!$B:$B,$A12)</f>
        <v/>
      </c>
      <c r="D12" s="16">
        <f>IF(B12=0,0,C12/B12)</f>
        <v/>
      </c>
      <c r="E12" s="15">
        <f>SUM($B$3:B12)</f>
        <v/>
      </c>
      <c r="F12" s="15">
        <f>SUM($C$3:C12)</f>
        <v/>
      </c>
      <c r="G12" s="15">
        <f>F12-E12</f>
        <v/>
      </c>
      <c r="H12" s="15">
        <f>F12+(SUM($B$3:$B$14)-E12)</f>
        <v/>
      </c>
      <c r="I12" s="16">
        <f>IF(SUM($B$3:$B$14)=0,0,H12/SUM($B$3:$B$14))</f>
        <v/>
      </c>
      <c r="J12" s="17">
        <f>B12*Setup!$B$7</f>
        <v/>
      </c>
      <c r="K12" s="17">
        <f>C12*Setup!$B$7</f>
        <v/>
      </c>
      <c r="L12" s="16">
        <f>IF(J12=0,0,K12/J12)</f>
        <v/>
      </c>
      <c r="M12" s="17">
        <f>E12*Setup!$B$7</f>
        <v/>
      </c>
      <c r="N12" s="17">
        <f>F12*Setup!$B$7</f>
        <v/>
      </c>
      <c r="O12" s="17">
        <f>N12-M12</f>
        <v/>
      </c>
      <c r="P12" s="17">
        <f>H12*Setup!$B$7</f>
        <v/>
      </c>
      <c r="Q12" s="16">
        <f>IF(SUM($J$3:$J$14)=0,0,P12/SUM($J$3:$J$14))</f>
        <v/>
      </c>
    </row>
    <row r="13">
      <c r="A13" s="10" t="inlineStr">
        <is>
          <t>2026-11</t>
        </is>
      </c>
      <c r="B13" s="15">
        <f>SUMPRODUCT(Plan_Horas!$O$3:$O$52,Plan_Horas!$C$3:$C$52)</f>
        <v/>
      </c>
      <c r="C13" s="15">
        <f>SUMIFS(Gastos_Actuales!$K:$K,Gastos_Actuales!$B:$B,$A13)</f>
        <v/>
      </c>
      <c r="D13" s="16">
        <f>IF(B13=0,0,C13/B13)</f>
        <v/>
      </c>
      <c r="E13" s="15">
        <f>SUM($B$3:B13)</f>
        <v/>
      </c>
      <c r="F13" s="15">
        <f>SUM($C$3:C13)</f>
        <v/>
      </c>
      <c r="G13" s="15">
        <f>F13-E13</f>
        <v/>
      </c>
      <c r="H13" s="15">
        <f>F13+(SUM($B$3:$B$14)-E13)</f>
        <v/>
      </c>
      <c r="I13" s="16">
        <f>IF(SUM($B$3:$B$14)=0,0,H13/SUM($B$3:$B$14))</f>
        <v/>
      </c>
      <c r="J13" s="17">
        <f>B13*Setup!$B$7</f>
        <v/>
      </c>
      <c r="K13" s="17">
        <f>C13*Setup!$B$7</f>
        <v/>
      </c>
      <c r="L13" s="16">
        <f>IF(J13=0,0,K13/J13)</f>
        <v/>
      </c>
      <c r="M13" s="17">
        <f>E13*Setup!$B$7</f>
        <v/>
      </c>
      <c r="N13" s="17">
        <f>F13*Setup!$B$7</f>
        <v/>
      </c>
      <c r="O13" s="17">
        <f>N13-M13</f>
        <v/>
      </c>
      <c r="P13" s="17">
        <f>H13*Setup!$B$7</f>
        <v/>
      </c>
      <c r="Q13" s="16">
        <f>IF(SUM($J$3:$J$14)=0,0,P13/SUM($J$3:$J$14))</f>
        <v/>
      </c>
    </row>
    <row r="14">
      <c r="A14" s="10" t="inlineStr">
        <is>
          <t>2026-12</t>
        </is>
      </c>
      <c r="B14" s="15">
        <f>SUMPRODUCT(Plan_Horas!$P$3:$P$52,Plan_Horas!$C$3:$C$52)</f>
        <v/>
      </c>
      <c r="C14" s="15">
        <f>SUMIFS(Gastos_Actuales!$K:$K,Gastos_Actuales!$B:$B,$A14)</f>
        <v/>
      </c>
      <c r="D14" s="16">
        <f>IF(B14=0,0,C14/B14)</f>
        <v/>
      </c>
      <c r="E14" s="15">
        <f>SUM($B$3:B14)</f>
        <v/>
      </c>
      <c r="F14" s="15">
        <f>SUM($C$3:C14)</f>
        <v/>
      </c>
      <c r="G14" s="15">
        <f>F14-E14</f>
        <v/>
      </c>
      <c r="H14" s="15">
        <f>F14+(SUM($B$3:$B$14)-E14)</f>
        <v/>
      </c>
      <c r="I14" s="16">
        <f>IF(SUM($B$3:$B$14)=0,0,H14/SUM($B$3:$B$14))</f>
        <v/>
      </c>
      <c r="J14" s="17">
        <f>B14*Setup!$B$7</f>
        <v/>
      </c>
      <c r="K14" s="17">
        <f>C14*Setup!$B$7</f>
        <v/>
      </c>
      <c r="L14" s="16">
        <f>IF(J14=0,0,K14/J14)</f>
        <v/>
      </c>
      <c r="M14" s="17">
        <f>E14*Setup!$B$7</f>
        <v/>
      </c>
      <c r="N14" s="17">
        <f>F14*Setup!$B$7</f>
        <v/>
      </c>
      <c r="O14" s="17">
        <f>N14-M14</f>
        <v/>
      </c>
      <c r="P14" s="17">
        <f>H14*Setup!$B$7</f>
        <v/>
      </c>
      <c r="Q14" s="16">
        <f>IF(SUM($J$3:$J$14)=0,0,P14/SUM($J$3:$J$14))</f>
        <v/>
      </c>
    </row>
  </sheetData>
  <mergeCells count="1">
    <mergeCell ref="A1:Q1"/>
  </mergeCells>
  <conditionalFormatting sqref="D3:D14">
    <cfRule type="iconSet" priority="1">
      <iconSet iconSet="3TrafficLights1" showValue="1" percent="0">
        <cfvo type="num" val="0.8"/>
        <cfvo type="num" val="0.95"/>
      </iconSet>
    </cfRule>
  </conditionalFormatting>
  <conditionalFormatting sqref="I3:I14">
    <cfRule type="iconSet" priority="2">
      <iconSet iconSet="3TrafficLights1" showValue="1" percent="0">
        <cfvo type="num" val="1"/>
        <cfvo type="num" val="1.05"/>
      </iconSet>
    </cfRule>
  </conditionalFormatting>
  <conditionalFormatting sqref="L3:L14">
    <cfRule type="iconSet" priority="3">
      <iconSet iconSet="3TrafficLights1" showValue="1" percent="0">
        <cfvo type="num" val="0.8"/>
        <cfvo type="num" val="0.95"/>
      </iconSet>
    </cfRule>
  </conditionalFormatting>
  <conditionalFormatting sqref="Q3:Q14">
    <cfRule type="iconSet" priority="4">
      <iconSet iconSet="3TrafficLights1" showValue="1" percent="0">
        <cfvo type="num" val="1"/>
        <cfvo type="num" val="1.05"/>
      </iconSet>
    </cfRule>
  </conditionalFormatting>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29"/>
  <sheetViews>
    <sheetView showGridLines="0" zoomScale="110" workbookViewId="0">
      <pane ySplit="2" topLeftCell="A3"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2" customWidth="1" min="13" max="13"/>
    <col width="2" customWidth="1" min="14" max="14"/>
  </cols>
  <sheetData>
    <row r="1" ht="32" customHeight="1">
      <c r="A1" s="1" t="inlineStr">
        <is>
          <t>Dashboard Ejecutivo — Dual Moneda + Semáforos + Proyección</t>
        </is>
      </c>
      <c r="B1" s="31" t="n"/>
      <c r="C1" s="31" t="n"/>
      <c r="D1" s="31" t="n"/>
      <c r="E1" s="31" t="n"/>
      <c r="F1" s="31" t="n"/>
      <c r="G1" s="31" t="n"/>
      <c r="H1" s="31" t="n"/>
      <c r="I1" s="31" t="n"/>
      <c r="J1" s="31" t="n"/>
      <c r="K1" s="31" t="n"/>
      <c r="L1" s="31" t="n"/>
      <c r="M1" s="31" t="n"/>
      <c r="N1" s="32" t="n"/>
    </row>
    <row r="3">
      <c r="A3" s="18" t="inlineStr">
        <is>
          <t>Presupuesto (USD)</t>
        </is>
      </c>
      <c r="B3" s="31" t="n"/>
      <c r="C3" s="32" t="n"/>
      <c r="D3" s="18" t="inlineStr">
        <is>
          <t>Actual (USD)</t>
        </is>
      </c>
      <c r="E3" s="31" t="n"/>
      <c r="F3" s="32" t="n"/>
      <c r="G3" s="18" t="inlineStr">
        <is>
          <t>Disponible (USD)</t>
        </is>
      </c>
      <c r="H3" s="31" t="n"/>
      <c r="I3" s="32" t="n"/>
      <c r="J3" s="18" t="inlineStr">
        <is>
          <t>% Consumido (USD)</t>
        </is>
      </c>
      <c r="K3" s="31" t="n"/>
      <c r="L3" s="32" t="n"/>
    </row>
    <row r="4">
      <c r="A4" s="19">
        <f>Setup!$B$8</f>
        <v/>
      </c>
      <c r="B4" s="31" t="n"/>
      <c r="C4" s="32" t="n"/>
      <c r="D4" s="19">
        <f>SUM(Gastos_Actuales!$K:$K)</f>
        <v/>
      </c>
      <c r="E4" s="31" t="n"/>
      <c r="F4" s="32" t="n"/>
      <c r="G4" s="19">
        <f>A4-D4</f>
        <v/>
      </c>
      <c r="H4" s="31" t="n"/>
      <c r="I4" s="32" t="n"/>
      <c r="J4" s="21">
        <f>IF(A4=0,0,D4/A4)</f>
        <v/>
      </c>
      <c r="K4" s="31" t="n"/>
      <c r="L4" s="32" t="n"/>
    </row>
    <row r="6">
      <c r="A6" s="18" t="inlineStr">
        <is>
          <t>Presupuesto (COP)</t>
        </is>
      </c>
      <c r="B6" s="31" t="n"/>
      <c r="C6" s="32" t="n"/>
      <c r="D6" s="18" t="inlineStr">
        <is>
          <t>Actual (COP)</t>
        </is>
      </c>
      <c r="E6" s="31" t="n"/>
      <c r="F6" s="32" t="n"/>
      <c r="G6" s="18" t="inlineStr">
        <is>
          <t>Disponible (COP)</t>
        </is>
      </c>
      <c r="H6" s="31" t="n"/>
      <c r="I6" s="32" t="n"/>
      <c r="J6" s="18" t="inlineStr">
        <is>
          <t>% Consumido (COP)</t>
        </is>
      </c>
      <c r="K6" s="31" t="n"/>
      <c r="L6" s="32" t="n"/>
    </row>
    <row r="7">
      <c r="A7" s="22">
        <f>Setup!$B$9</f>
        <v/>
      </c>
      <c r="B7" s="31" t="n"/>
      <c r="C7" s="32" t="n"/>
      <c r="D7" s="22">
        <f>SUM(Gastos_Actuales!$L:$L)</f>
        <v/>
      </c>
      <c r="E7" s="31" t="n"/>
      <c r="F7" s="32" t="n"/>
      <c r="G7" s="22">
        <f>A7-D7</f>
        <v/>
      </c>
      <c r="H7" s="31" t="n"/>
      <c r="I7" s="32" t="n"/>
      <c r="J7" s="21">
        <f>IF(A7=0,0,D7/A7)</f>
        <v/>
      </c>
      <c r="K7" s="31" t="n"/>
      <c r="L7" s="32" t="n"/>
    </row>
    <row r="9">
      <c r="A9" s="2" t="inlineStr">
        <is>
          <t>Proyección (EAC)</t>
        </is>
      </c>
    </row>
    <row r="10">
      <c r="A10" s="18" t="inlineStr">
        <is>
          <t>EAC USD (según Mes de reporte)</t>
        </is>
      </c>
      <c r="B10" s="31" t="n"/>
      <c r="C10" s="31" t="n"/>
      <c r="D10" s="31" t="n"/>
      <c r="E10" s="31" t="n"/>
      <c r="F10" s="32" t="n"/>
      <c r="G10" s="18" t="inlineStr">
        <is>
          <t>EAC COP (según Mes de reporte)</t>
        </is>
      </c>
      <c r="H10" s="31" t="n"/>
      <c r="I10" s="31" t="n"/>
      <c r="J10" s="31" t="n"/>
      <c r="K10" s="31" t="n"/>
      <c r="L10" s="32" t="n"/>
    </row>
    <row r="11">
      <c r="A11" s="23">
        <f>INDEX(Resumen!$H$3:$H$14, MATCH(Setup!$B$12, Resumen!$A$3:$A$14, 0))</f>
        <v/>
      </c>
      <c r="B11" s="31" t="n"/>
      <c r="C11" s="31" t="n"/>
      <c r="D11" s="31" t="n"/>
      <c r="E11" s="31" t="n"/>
      <c r="F11" s="32" t="n"/>
      <c r="G11" s="25">
        <f>INDEX(Resumen!$P$3:$P$14, MATCH(Setup!$B$12, Resumen!$A$3:$A$14, 0))</f>
        <v/>
      </c>
      <c r="H11" s="31" t="n"/>
      <c r="I11" s="31" t="n"/>
      <c r="J11" s="31" t="n"/>
      <c r="K11" s="31" t="n"/>
      <c r="L11" s="32" t="n"/>
    </row>
    <row r="13">
      <c r="A13" s="26" t="inlineStr">
        <is>
          <t>• Consejo ejecutivo: si el gasto viene en COP, la TRM manda. Si cambia mucho, tu presupuesto 'sube' o 'baja' sin pedir permiso.</t>
        </is>
      </c>
      <c r="B13" s="31" t="n"/>
      <c r="C13" s="31" t="n"/>
      <c r="D13" s="31" t="n"/>
      <c r="E13" s="31" t="n"/>
      <c r="F13" s="31" t="n"/>
      <c r="G13" s="31" t="n"/>
      <c r="H13" s="31" t="n"/>
      <c r="I13" s="31" t="n"/>
      <c r="J13" s="31" t="n"/>
      <c r="K13" s="31" t="n"/>
      <c r="L13" s="31" t="n"/>
      <c r="M13" s="31" t="n"/>
      <c r="N13" s="32" t="n"/>
    </row>
    <row r="15">
      <c r="A15" s="2" t="inlineStr">
        <is>
          <t>Tendencia (USD): Acumulado Actual vs Budget</t>
        </is>
      </c>
      <c r="G15" s="2" t="inlineStr">
        <is>
          <t>Mix mensual (USD): Labor vs No-Labor</t>
        </is>
      </c>
    </row>
    <row r="17">
      <c r="A17" s="27" t="inlineStr">
        <is>
          <t>Mes</t>
        </is>
      </c>
      <c r="B17" s="27" t="inlineStr">
        <is>
          <t>Budget Acum USD</t>
        </is>
      </c>
      <c r="C17" s="27" t="inlineStr">
        <is>
          <t>Actual Acum USD</t>
        </is>
      </c>
      <c r="G17" s="27" t="inlineStr">
        <is>
          <t>Mes</t>
        </is>
      </c>
      <c r="H17" s="27" t="inlineStr">
        <is>
          <t>Labor USD</t>
        </is>
      </c>
      <c r="I17" s="27" t="inlineStr">
        <is>
          <t>No-Labor USD</t>
        </is>
      </c>
    </row>
    <row r="18">
      <c r="A18" s="28">
        <f>Resumen!A3</f>
        <v/>
      </c>
      <c r="B18" s="29">
        <f>Resumen!E3</f>
        <v/>
      </c>
      <c r="C18" s="29">
        <f>Resumen!F3</f>
        <v/>
      </c>
      <c r="G18" s="28">
        <f>Resumen!A3</f>
        <v/>
      </c>
      <c r="H18" s="29">
        <f>SUMIFS(Gastos_Actuales!$K:$K,Gastos_Actuales!$B:$B,Resumen!A3,Gastos_Actuales!$F:$F,"Labor")</f>
        <v/>
      </c>
      <c r="I18" s="29">
        <f>SUMIFS(Gastos_Actuales!$K:$K,Gastos_Actuales!$B:$B,Resumen!A3,Gastos_Actuales!$F:$F,"&lt;&gt;Labor")</f>
        <v/>
      </c>
    </row>
    <row r="19">
      <c r="A19" s="28">
        <f>Resumen!A4</f>
        <v/>
      </c>
      <c r="B19" s="29">
        <f>Resumen!E4</f>
        <v/>
      </c>
      <c r="C19" s="29">
        <f>Resumen!F4</f>
        <v/>
      </c>
      <c r="G19" s="28">
        <f>Resumen!A4</f>
        <v/>
      </c>
      <c r="H19" s="29">
        <f>SUMIFS(Gastos_Actuales!$K:$K,Gastos_Actuales!$B:$B,Resumen!A4,Gastos_Actuales!$F:$F,"Labor")</f>
        <v/>
      </c>
      <c r="I19" s="29">
        <f>SUMIFS(Gastos_Actuales!$K:$K,Gastos_Actuales!$B:$B,Resumen!A4,Gastos_Actuales!$F:$F,"&lt;&gt;Labor")</f>
        <v/>
      </c>
    </row>
    <row r="20">
      <c r="A20" s="28">
        <f>Resumen!A5</f>
        <v/>
      </c>
      <c r="B20" s="29">
        <f>Resumen!E5</f>
        <v/>
      </c>
      <c r="C20" s="29">
        <f>Resumen!F5</f>
        <v/>
      </c>
      <c r="G20" s="28">
        <f>Resumen!A5</f>
        <v/>
      </c>
      <c r="H20" s="29">
        <f>SUMIFS(Gastos_Actuales!$K:$K,Gastos_Actuales!$B:$B,Resumen!A5,Gastos_Actuales!$F:$F,"Labor")</f>
        <v/>
      </c>
      <c r="I20" s="29">
        <f>SUMIFS(Gastos_Actuales!$K:$K,Gastos_Actuales!$B:$B,Resumen!A5,Gastos_Actuales!$F:$F,"&lt;&gt;Labor")</f>
        <v/>
      </c>
    </row>
    <row r="21">
      <c r="A21" s="28">
        <f>Resumen!A6</f>
        <v/>
      </c>
      <c r="B21" s="29">
        <f>Resumen!E6</f>
        <v/>
      </c>
      <c r="C21" s="29">
        <f>Resumen!F6</f>
        <v/>
      </c>
      <c r="G21" s="28">
        <f>Resumen!A6</f>
        <v/>
      </c>
      <c r="H21" s="29">
        <f>SUMIFS(Gastos_Actuales!$K:$K,Gastos_Actuales!$B:$B,Resumen!A6,Gastos_Actuales!$F:$F,"Labor")</f>
        <v/>
      </c>
      <c r="I21" s="29">
        <f>SUMIFS(Gastos_Actuales!$K:$K,Gastos_Actuales!$B:$B,Resumen!A6,Gastos_Actuales!$F:$F,"&lt;&gt;Labor")</f>
        <v/>
      </c>
    </row>
    <row r="22">
      <c r="A22" s="28">
        <f>Resumen!A7</f>
        <v/>
      </c>
      <c r="B22" s="29">
        <f>Resumen!E7</f>
        <v/>
      </c>
      <c r="C22" s="29">
        <f>Resumen!F7</f>
        <v/>
      </c>
      <c r="G22" s="28">
        <f>Resumen!A7</f>
        <v/>
      </c>
      <c r="H22" s="29">
        <f>SUMIFS(Gastos_Actuales!$K:$K,Gastos_Actuales!$B:$B,Resumen!A7,Gastos_Actuales!$F:$F,"Labor")</f>
        <v/>
      </c>
      <c r="I22" s="29">
        <f>SUMIFS(Gastos_Actuales!$K:$K,Gastos_Actuales!$B:$B,Resumen!A7,Gastos_Actuales!$F:$F,"&lt;&gt;Labor")</f>
        <v/>
      </c>
    </row>
    <row r="23">
      <c r="A23" s="28">
        <f>Resumen!A8</f>
        <v/>
      </c>
      <c r="B23" s="29">
        <f>Resumen!E8</f>
        <v/>
      </c>
      <c r="C23" s="29">
        <f>Resumen!F8</f>
        <v/>
      </c>
      <c r="G23" s="28">
        <f>Resumen!A8</f>
        <v/>
      </c>
      <c r="H23" s="29">
        <f>SUMIFS(Gastos_Actuales!$K:$K,Gastos_Actuales!$B:$B,Resumen!A8,Gastos_Actuales!$F:$F,"Labor")</f>
        <v/>
      </c>
      <c r="I23" s="29">
        <f>SUMIFS(Gastos_Actuales!$K:$K,Gastos_Actuales!$B:$B,Resumen!A8,Gastos_Actuales!$F:$F,"&lt;&gt;Labor")</f>
        <v/>
      </c>
    </row>
    <row r="24">
      <c r="A24" s="28">
        <f>Resumen!A9</f>
        <v/>
      </c>
      <c r="B24" s="29">
        <f>Resumen!E9</f>
        <v/>
      </c>
      <c r="C24" s="29">
        <f>Resumen!F9</f>
        <v/>
      </c>
      <c r="G24" s="28">
        <f>Resumen!A9</f>
        <v/>
      </c>
      <c r="H24" s="29">
        <f>SUMIFS(Gastos_Actuales!$K:$K,Gastos_Actuales!$B:$B,Resumen!A9,Gastos_Actuales!$F:$F,"Labor")</f>
        <v/>
      </c>
      <c r="I24" s="29">
        <f>SUMIFS(Gastos_Actuales!$K:$K,Gastos_Actuales!$B:$B,Resumen!A9,Gastos_Actuales!$F:$F,"&lt;&gt;Labor")</f>
        <v/>
      </c>
    </row>
    <row r="25">
      <c r="A25" s="28">
        <f>Resumen!A10</f>
        <v/>
      </c>
      <c r="B25" s="29">
        <f>Resumen!E10</f>
        <v/>
      </c>
      <c r="C25" s="29">
        <f>Resumen!F10</f>
        <v/>
      </c>
      <c r="G25" s="28">
        <f>Resumen!A10</f>
        <v/>
      </c>
      <c r="H25" s="29">
        <f>SUMIFS(Gastos_Actuales!$K:$K,Gastos_Actuales!$B:$B,Resumen!A10,Gastos_Actuales!$F:$F,"Labor")</f>
        <v/>
      </c>
      <c r="I25" s="29">
        <f>SUMIFS(Gastos_Actuales!$K:$K,Gastos_Actuales!$B:$B,Resumen!A10,Gastos_Actuales!$F:$F,"&lt;&gt;Labor")</f>
        <v/>
      </c>
    </row>
    <row r="26">
      <c r="A26" s="28">
        <f>Resumen!A11</f>
        <v/>
      </c>
      <c r="B26" s="29">
        <f>Resumen!E11</f>
        <v/>
      </c>
      <c r="C26" s="29">
        <f>Resumen!F11</f>
        <v/>
      </c>
      <c r="G26" s="28">
        <f>Resumen!A11</f>
        <v/>
      </c>
      <c r="H26" s="29">
        <f>SUMIFS(Gastos_Actuales!$K:$K,Gastos_Actuales!$B:$B,Resumen!A11,Gastos_Actuales!$F:$F,"Labor")</f>
        <v/>
      </c>
      <c r="I26" s="29">
        <f>SUMIFS(Gastos_Actuales!$K:$K,Gastos_Actuales!$B:$B,Resumen!A11,Gastos_Actuales!$F:$F,"&lt;&gt;Labor")</f>
        <v/>
      </c>
    </row>
    <row r="27">
      <c r="A27" s="28">
        <f>Resumen!A12</f>
        <v/>
      </c>
      <c r="B27" s="29">
        <f>Resumen!E12</f>
        <v/>
      </c>
      <c r="C27" s="29">
        <f>Resumen!F12</f>
        <v/>
      </c>
      <c r="G27" s="28">
        <f>Resumen!A12</f>
        <v/>
      </c>
      <c r="H27" s="29">
        <f>SUMIFS(Gastos_Actuales!$K:$K,Gastos_Actuales!$B:$B,Resumen!A12,Gastos_Actuales!$F:$F,"Labor")</f>
        <v/>
      </c>
      <c r="I27" s="29">
        <f>SUMIFS(Gastos_Actuales!$K:$K,Gastos_Actuales!$B:$B,Resumen!A12,Gastos_Actuales!$F:$F,"&lt;&gt;Labor")</f>
        <v/>
      </c>
    </row>
    <row r="28">
      <c r="A28" s="28">
        <f>Resumen!A13</f>
        <v/>
      </c>
      <c r="B28" s="29">
        <f>Resumen!E13</f>
        <v/>
      </c>
      <c r="C28" s="29">
        <f>Resumen!F13</f>
        <v/>
      </c>
      <c r="G28" s="28">
        <f>Resumen!A13</f>
        <v/>
      </c>
      <c r="H28" s="29">
        <f>SUMIFS(Gastos_Actuales!$K:$K,Gastos_Actuales!$B:$B,Resumen!A13,Gastos_Actuales!$F:$F,"Labor")</f>
        <v/>
      </c>
      <c r="I28" s="29">
        <f>SUMIFS(Gastos_Actuales!$K:$K,Gastos_Actuales!$B:$B,Resumen!A13,Gastos_Actuales!$F:$F,"&lt;&gt;Labor")</f>
        <v/>
      </c>
    </row>
    <row r="29">
      <c r="A29" s="28">
        <f>Resumen!A14</f>
        <v/>
      </c>
      <c r="B29" s="29">
        <f>Resumen!E14</f>
        <v/>
      </c>
      <c r="C29" s="29">
        <f>Resumen!F14</f>
        <v/>
      </c>
      <c r="G29" s="28">
        <f>Resumen!A14</f>
        <v/>
      </c>
      <c r="H29" s="29">
        <f>SUMIFS(Gastos_Actuales!$K:$K,Gastos_Actuales!$B:$B,Resumen!A14,Gastos_Actuales!$F:$F,"Labor")</f>
        <v/>
      </c>
      <c r="I29" s="29">
        <f>SUMIFS(Gastos_Actuales!$K:$K,Gastos_Actuales!$B:$B,Resumen!A14,Gastos_Actuales!$F:$F,"&lt;&gt;Labor")</f>
        <v/>
      </c>
    </row>
  </sheetData>
  <mergeCells count="25">
    <mergeCell ref="A9:N9"/>
    <mergeCell ref="J6:L6"/>
    <mergeCell ref="G6:I6"/>
    <mergeCell ref="G10:L10"/>
    <mergeCell ref="A3:C3"/>
    <mergeCell ref="G3:I3"/>
    <mergeCell ref="J4:L4"/>
    <mergeCell ref="D7:F7"/>
    <mergeCell ref="A1:N1"/>
    <mergeCell ref="J7:L7"/>
    <mergeCell ref="D4:F4"/>
    <mergeCell ref="D3:F3"/>
    <mergeCell ref="G4:I4"/>
    <mergeCell ref="A4:C4"/>
    <mergeCell ref="J3:L3"/>
    <mergeCell ref="A10:F10"/>
    <mergeCell ref="G15:N15"/>
    <mergeCell ref="A15:F15"/>
    <mergeCell ref="A11:F11"/>
    <mergeCell ref="G11:L11"/>
    <mergeCell ref="A6:C6"/>
    <mergeCell ref="D6:F6"/>
    <mergeCell ref="A7:C7"/>
    <mergeCell ref="G7:I7"/>
    <mergeCell ref="A13:N13"/>
  </mergeCells>
  <conditionalFormatting sqref="J4">
    <cfRule type="iconSet" priority="1">
      <iconSet iconSet="3TrafficLights1" showValue="1" percent="0">
        <cfvo type="num" val="0.8"/>
        <cfvo type="num" val="0.95"/>
      </iconSet>
    </cfRule>
  </conditionalFormatting>
  <conditionalFormatting sqref="J7">
    <cfRule type="iconSet" priority="2">
      <iconSet iconSet="3TrafficLights1" showValue="1" percent="0">
        <cfvo type="num" val="0.8"/>
        <cfvo type="num" val="0.95"/>
      </iconSet>
    </cfRule>
  </conditionalFormatting>
  <pageMargins left="0.75" right="0.75" top="1" bottom="1" header="0.5" footer="0.5"/>
  <drawing xmlns:r="http://schemas.openxmlformats.org/officeDocument/2006/relationships" r:id="rId1"/>
</worksheet>
</file>

<file path=xl/worksheets/sheet7.xml><?xml version="1.0" encoding="utf-8"?>
<worksheet xmlns="http://schemas.openxmlformats.org/spreadsheetml/2006/main">
  <sheetPr>
    <outlinePr summaryBelow="1" summaryRight="1"/>
    <pageSetUpPr/>
  </sheetPr>
  <dimension ref="A1:H40"/>
  <sheetViews>
    <sheetView showGridLines="0" zoomScale="110"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s>
  <sheetData>
    <row r="1" ht="28" customHeight="1">
      <c r="A1" s="1" t="inlineStr">
        <is>
          <t>Macro opcional (copia y pega en Excel) — Budget Guard Dual Moneda</t>
        </is>
      </c>
      <c r="B1" s="31" t="n"/>
      <c r="C1" s="31" t="n"/>
      <c r="D1" s="31" t="n"/>
      <c r="E1" s="31" t="n"/>
      <c r="F1" s="31" t="n"/>
      <c r="G1" s="31" t="n"/>
      <c r="H1" s="32" t="n"/>
    </row>
    <row r="3">
      <c r="A3" s="30" t="inlineStr">
        <is>
          <t xml:space="preserve">Option Explicit
' === BUDGET GUARD (DUAL MONEDA) ===
' - Normaliza a USD usando Setup!B7 (TRM).
' - Alertas en amarillo/rojo para control ejecutivo.
' - Puedes extenderlo para BLOQUEAR registros si pct &gt;= rojo (ver comentario).
Public Sub BudgetGuard_Refresh()
    Dim budgetUSD As Double, actualUSD As Double, pct As Double
    budgetUSD = Sheets("Setup").Range("B8").Value
    actualUSD = Application.WorksheetFunction.Sum(Sheets("Gastos_Actuales").Range("K:K"))
    If budgetUSD &lt;= 0 Then Exit Sub
    pct = actualUSD / budgetUSD
    If pct &gt;= Sheets("Setup").Range("B13").Value Then
        MsgBox "🚨 Presupuesto en ROJO (USD): " &amp; Format(pct, "0%") &amp; vbCrLf &amp; _
               "Acción: congela horas no críticas / renegocia alcance.", vbExclamation, "Budget Guard"
        ' --- (opcional) BLOQUEO ---
        ' Sheets("Gastos_Actuales").Protect Password:="budget", UserInterfaceOnly:=True
        ' MsgBox "Hoja bloqueada. Desbloquea al aprobar un Change Request.", vbInformation
    ElseIf pct &gt;= Sheets("Setup").Range("B12").Value Then
        MsgBox "⚠️ Presupuesto en AMARILLO (USD): " &amp; Format(pct, "0%") &amp; vbCrLf &amp; _
               "Acción: revisa burn rate y ajusta capacidad.", vbInformation, "Budget Guard"
    End If
End Sub
' Pegar este evento dentro del objeto de la hoja "Gastos_Actuales":
' Private Sub Worksheet_Change(ByVal Target As Range)
'     On Error GoTo SafeExit
'     If Not Intersect(Target, Me.Range("A:P")) Is Nothing Then
'         Application.EnableEvents = False
'         BudgetGuard_Refresh
'     End If
' SafeExit:
'     Application.EnableEvents = True
' End Sub
</t>
        </is>
      </c>
      <c r="B3" s="33" t="n"/>
      <c r="C3" s="33" t="n"/>
      <c r="D3" s="33" t="n"/>
      <c r="E3" s="33" t="n"/>
      <c r="F3" s="33" t="n"/>
      <c r="G3" s="33" t="n"/>
      <c r="H3" s="34" t="n"/>
    </row>
    <row r="4">
      <c r="A4" s="35" t="n"/>
      <c r="H4" s="36" t="n"/>
    </row>
    <row r="5">
      <c r="A5" s="35" t="n"/>
      <c r="H5" s="36" t="n"/>
    </row>
    <row r="6">
      <c r="A6" s="35" t="n"/>
      <c r="H6" s="36" t="n"/>
    </row>
    <row r="7">
      <c r="A7" s="35" t="n"/>
      <c r="H7" s="36" t="n"/>
    </row>
    <row r="8">
      <c r="A8" s="35" t="n"/>
      <c r="H8" s="36" t="n"/>
    </row>
    <row r="9">
      <c r="A9" s="35" t="n"/>
      <c r="H9" s="36" t="n"/>
    </row>
    <row r="10">
      <c r="A10" s="35" t="n"/>
      <c r="H10" s="36" t="n"/>
    </row>
    <row r="11">
      <c r="A11" s="35" t="n"/>
      <c r="H11" s="36" t="n"/>
    </row>
    <row r="12">
      <c r="A12" s="35" t="n"/>
      <c r="H12" s="36" t="n"/>
    </row>
    <row r="13">
      <c r="A13" s="35" t="n"/>
      <c r="H13" s="36" t="n"/>
    </row>
    <row r="14">
      <c r="A14" s="35" t="n"/>
      <c r="H14" s="36" t="n"/>
    </row>
    <row r="15">
      <c r="A15" s="35" t="n"/>
      <c r="H15" s="36" t="n"/>
    </row>
    <row r="16">
      <c r="A16" s="35" t="n"/>
      <c r="H16" s="36" t="n"/>
    </row>
    <row r="17">
      <c r="A17" s="35" t="n"/>
      <c r="H17" s="36" t="n"/>
    </row>
    <row r="18">
      <c r="A18" s="35" t="n"/>
      <c r="H18" s="36" t="n"/>
    </row>
    <row r="19">
      <c r="A19" s="35" t="n"/>
      <c r="H19" s="36" t="n"/>
    </row>
    <row r="20">
      <c r="A20" s="35" t="n"/>
      <c r="H20" s="36" t="n"/>
    </row>
    <row r="21">
      <c r="A21" s="35" t="n"/>
      <c r="H21" s="36" t="n"/>
    </row>
    <row r="22">
      <c r="A22" s="35" t="n"/>
      <c r="H22" s="36" t="n"/>
    </row>
    <row r="23">
      <c r="A23" s="35" t="n"/>
      <c r="H23" s="36" t="n"/>
    </row>
    <row r="24">
      <c r="A24" s="35" t="n"/>
      <c r="H24" s="36" t="n"/>
    </row>
    <row r="25">
      <c r="A25" s="35" t="n"/>
      <c r="H25" s="36" t="n"/>
    </row>
    <row r="26">
      <c r="A26" s="35" t="n"/>
      <c r="H26" s="36" t="n"/>
    </row>
    <row r="27">
      <c r="A27" s="35" t="n"/>
      <c r="H27" s="36" t="n"/>
    </row>
    <row r="28">
      <c r="A28" s="35" t="n"/>
      <c r="H28" s="36" t="n"/>
    </row>
    <row r="29">
      <c r="A29" s="35" t="n"/>
      <c r="H29" s="36" t="n"/>
    </row>
    <row r="30">
      <c r="A30" s="35" t="n"/>
      <c r="H30" s="36" t="n"/>
    </row>
    <row r="31">
      <c r="A31" s="35" t="n"/>
      <c r="H31" s="36" t="n"/>
    </row>
    <row r="32">
      <c r="A32" s="35" t="n"/>
      <c r="H32" s="36" t="n"/>
    </row>
    <row r="33">
      <c r="A33" s="35" t="n"/>
      <c r="H33" s="36" t="n"/>
    </row>
    <row r="34">
      <c r="A34" s="35" t="n"/>
      <c r="H34" s="36" t="n"/>
    </row>
    <row r="35">
      <c r="A35" s="35" t="n"/>
      <c r="H35" s="36" t="n"/>
    </row>
    <row r="36">
      <c r="A36" s="35" t="n"/>
      <c r="H36" s="36" t="n"/>
    </row>
    <row r="37">
      <c r="A37" s="35" t="n"/>
      <c r="H37" s="36" t="n"/>
    </row>
    <row r="38">
      <c r="A38" s="35" t="n"/>
      <c r="H38" s="36" t="n"/>
    </row>
    <row r="39">
      <c r="A39" s="35" t="n"/>
      <c r="H39" s="36" t="n"/>
    </row>
    <row r="40">
      <c r="A40" s="37" t="n"/>
      <c r="B40" s="38" t="n"/>
      <c r="C40" s="38" t="n"/>
      <c r="D40" s="38" t="n"/>
      <c r="E40" s="38" t="n"/>
      <c r="F40" s="38" t="n"/>
      <c r="G40" s="38" t="n"/>
      <c r="H40" s="39" t="n"/>
    </row>
  </sheetData>
  <mergeCells count="2">
    <mergeCell ref="A3:H40"/>
    <mergeCell ref="A1:H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40" t="inlineStr">
        <is>
          <t>KPIs Proyecto</t>
        </is>
      </c>
    </row>
    <row r="2"/>
    <row r="3">
      <c r="A3" t="inlineStr">
        <is>
          <t>Ingreso Total</t>
        </is>
      </c>
      <c r="B3">
        <f>SUM(Detalle por Recurso!H:H)</f>
        <v/>
      </c>
    </row>
    <row r="4">
      <c r="A4" t="inlineStr">
        <is>
          <t>Costo Total</t>
        </is>
      </c>
      <c r="B4">
        <f>SUM(Detalle por Recurso!G:G)</f>
        <v/>
      </c>
    </row>
    <row r="5">
      <c r="A5" t="inlineStr">
        <is>
          <t>Profit Total</t>
        </is>
      </c>
      <c r="B5">
        <f>B3-B4</f>
        <v/>
      </c>
    </row>
    <row r="6">
      <c r="A6" t="inlineStr">
        <is>
          <t>Margen Global</t>
        </is>
      </c>
      <c r="B6">
        <f>IF(B3=0,0,B5/B3)</f>
        <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49"/>
  <sheetViews>
    <sheetView workbookViewId="0">
      <selection activeCell="A1" sqref="A1"/>
    </sheetView>
  </sheetViews>
  <sheetFormatPr baseColWidth="8" defaultRowHeight="15"/>
  <sheetData>
    <row r="1">
      <c r="A1" t="inlineStr">
        <is>
          <t>Recurso</t>
        </is>
      </c>
      <c r="B1" t="inlineStr">
        <is>
          <t>Rol</t>
        </is>
      </c>
      <c r="C1" t="inlineStr">
        <is>
          <t>Horas Plan</t>
        </is>
      </c>
      <c r="D1" t="inlineStr">
        <is>
          <t>Horas Reales</t>
        </is>
      </c>
      <c r="E1" t="inlineStr">
        <is>
          <t>Rate Cliente</t>
        </is>
      </c>
      <c r="F1" t="inlineStr">
        <is>
          <t>Costo Hora</t>
        </is>
      </c>
      <c r="G1" t="inlineStr">
        <is>
          <t>Costo Total</t>
        </is>
      </c>
      <c r="H1" t="inlineStr">
        <is>
          <t>Ingreso</t>
        </is>
      </c>
      <c r="I1" t="inlineStr">
        <is>
          <t>Profit</t>
        </is>
      </c>
      <c r="J1" t="inlineStr">
        <is>
          <t>Margen %</t>
        </is>
      </c>
    </row>
    <row r="2">
      <c r="G2">
        <f>D2*F2</f>
        <v/>
      </c>
      <c r="H2">
        <f>D2*E2</f>
        <v/>
      </c>
      <c r="I2">
        <f>H2-G2</f>
        <v/>
      </c>
      <c r="J2">
        <f>IF(H2=0,0,I2/H2)</f>
        <v/>
      </c>
    </row>
    <row r="3">
      <c r="G3">
        <f>D3*F3</f>
        <v/>
      </c>
      <c r="H3">
        <f>D3*E3</f>
        <v/>
      </c>
      <c r="I3">
        <f>H3-G3</f>
        <v/>
      </c>
      <c r="J3">
        <f>IF(H3=0,0,I3/H3)</f>
        <v/>
      </c>
    </row>
    <row r="4">
      <c r="G4">
        <f>D4*F4</f>
        <v/>
      </c>
      <c r="H4">
        <f>D4*E4</f>
        <v/>
      </c>
      <c r="I4">
        <f>H4-G4</f>
        <v/>
      </c>
      <c r="J4">
        <f>IF(H4=0,0,I4/H4)</f>
        <v/>
      </c>
    </row>
    <row r="5">
      <c r="G5">
        <f>D5*F5</f>
        <v/>
      </c>
      <c r="H5">
        <f>D5*E5</f>
        <v/>
      </c>
      <c r="I5">
        <f>H5-G5</f>
        <v/>
      </c>
      <c r="J5">
        <f>IF(H5=0,0,I5/H5)</f>
        <v/>
      </c>
    </row>
    <row r="6">
      <c r="G6">
        <f>D6*F6</f>
        <v/>
      </c>
      <c r="H6">
        <f>D6*E6</f>
        <v/>
      </c>
      <c r="I6">
        <f>H6-G6</f>
        <v/>
      </c>
      <c r="J6">
        <f>IF(H6=0,0,I6/H6)</f>
        <v/>
      </c>
    </row>
    <row r="7">
      <c r="G7">
        <f>D7*F7</f>
        <v/>
      </c>
      <c r="H7">
        <f>D7*E7</f>
        <v/>
      </c>
      <c r="I7">
        <f>H7-G7</f>
        <v/>
      </c>
      <c r="J7">
        <f>IF(H7=0,0,I7/H7)</f>
        <v/>
      </c>
    </row>
    <row r="8">
      <c r="G8">
        <f>D8*F8</f>
        <v/>
      </c>
      <c r="H8">
        <f>D8*E8</f>
        <v/>
      </c>
      <c r="I8">
        <f>H8-G8</f>
        <v/>
      </c>
      <c r="J8">
        <f>IF(H8=0,0,I8/H8)</f>
        <v/>
      </c>
    </row>
    <row r="9">
      <c r="G9">
        <f>D9*F9</f>
        <v/>
      </c>
      <c r="H9">
        <f>D9*E9</f>
        <v/>
      </c>
      <c r="I9">
        <f>H9-G9</f>
        <v/>
      </c>
      <c r="J9">
        <f>IF(H9=0,0,I9/H9)</f>
        <v/>
      </c>
    </row>
    <row r="10">
      <c r="G10">
        <f>D10*F10</f>
        <v/>
      </c>
      <c r="H10">
        <f>D10*E10</f>
        <v/>
      </c>
      <c r="I10">
        <f>H10-G10</f>
        <v/>
      </c>
      <c r="J10">
        <f>IF(H10=0,0,I10/H10)</f>
        <v/>
      </c>
    </row>
    <row r="11">
      <c r="G11">
        <f>D11*F11</f>
        <v/>
      </c>
      <c r="H11">
        <f>D11*E11</f>
        <v/>
      </c>
      <c r="I11">
        <f>H11-G11</f>
        <v/>
      </c>
      <c r="J11">
        <f>IF(H11=0,0,I11/H11)</f>
        <v/>
      </c>
    </row>
    <row r="12">
      <c r="G12">
        <f>D12*F12</f>
        <v/>
      </c>
      <c r="H12">
        <f>D12*E12</f>
        <v/>
      </c>
      <c r="I12">
        <f>H12-G12</f>
        <v/>
      </c>
      <c r="J12">
        <f>IF(H12=0,0,I12/H12)</f>
        <v/>
      </c>
    </row>
    <row r="13">
      <c r="G13">
        <f>D13*F13</f>
        <v/>
      </c>
      <c r="H13">
        <f>D13*E13</f>
        <v/>
      </c>
      <c r="I13">
        <f>H13-G13</f>
        <v/>
      </c>
      <c r="J13">
        <f>IF(H13=0,0,I13/H13)</f>
        <v/>
      </c>
    </row>
    <row r="14">
      <c r="G14">
        <f>D14*F14</f>
        <v/>
      </c>
      <c r="H14">
        <f>D14*E14</f>
        <v/>
      </c>
      <c r="I14">
        <f>H14-G14</f>
        <v/>
      </c>
      <c r="J14">
        <f>IF(H14=0,0,I14/H14)</f>
        <v/>
      </c>
    </row>
    <row r="15">
      <c r="G15">
        <f>D15*F15</f>
        <v/>
      </c>
      <c r="H15">
        <f>D15*E15</f>
        <v/>
      </c>
      <c r="I15">
        <f>H15-G15</f>
        <v/>
      </c>
      <c r="J15">
        <f>IF(H15=0,0,I15/H15)</f>
        <v/>
      </c>
    </row>
    <row r="16">
      <c r="G16">
        <f>D16*F16</f>
        <v/>
      </c>
      <c r="H16">
        <f>D16*E16</f>
        <v/>
      </c>
      <c r="I16">
        <f>H16-G16</f>
        <v/>
      </c>
      <c r="J16">
        <f>IF(H16=0,0,I16/H16)</f>
        <v/>
      </c>
    </row>
    <row r="17">
      <c r="G17">
        <f>D17*F17</f>
        <v/>
      </c>
      <c r="H17">
        <f>D17*E17</f>
        <v/>
      </c>
      <c r="I17">
        <f>H17-G17</f>
        <v/>
      </c>
      <c r="J17">
        <f>IF(H17=0,0,I17/H17)</f>
        <v/>
      </c>
    </row>
    <row r="18">
      <c r="G18">
        <f>D18*F18</f>
        <v/>
      </c>
      <c r="H18">
        <f>D18*E18</f>
        <v/>
      </c>
      <c r="I18">
        <f>H18-G18</f>
        <v/>
      </c>
      <c r="J18">
        <f>IF(H18=0,0,I18/H18)</f>
        <v/>
      </c>
    </row>
    <row r="19">
      <c r="G19">
        <f>D19*F19</f>
        <v/>
      </c>
      <c r="H19">
        <f>D19*E19</f>
        <v/>
      </c>
      <c r="I19">
        <f>H19-G19</f>
        <v/>
      </c>
      <c r="J19">
        <f>IF(H19=0,0,I19/H19)</f>
        <v/>
      </c>
    </row>
    <row r="20">
      <c r="G20">
        <f>D20*F20</f>
        <v/>
      </c>
      <c r="H20">
        <f>D20*E20</f>
        <v/>
      </c>
      <c r="I20">
        <f>H20-G20</f>
        <v/>
      </c>
      <c r="J20">
        <f>IF(H20=0,0,I20/H20)</f>
        <v/>
      </c>
    </row>
    <row r="21">
      <c r="G21">
        <f>D21*F21</f>
        <v/>
      </c>
      <c r="H21">
        <f>D21*E21</f>
        <v/>
      </c>
      <c r="I21">
        <f>H21-G21</f>
        <v/>
      </c>
      <c r="J21">
        <f>IF(H21=0,0,I21/H21)</f>
        <v/>
      </c>
    </row>
    <row r="22">
      <c r="G22">
        <f>D22*F22</f>
        <v/>
      </c>
      <c r="H22">
        <f>D22*E22</f>
        <v/>
      </c>
      <c r="I22">
        <f>H22-G22</f>
        <v/>
      </c>
      <c r="J22">
        <f>IF(H22=0,0,I22/H22)</f>
        <v/>
      </c>
    </row>
    <row r="23">
      <c r="G23">
        <f>D23*F23</f>
        <v/>
      </c>
      <c r="H23">
        <f>D23*E23</f>
        <v/>
      </c>
      <c r="I23">
        <f>H23-G23</f>
        <v/>
      </c>
      <c r="J23">
        <f>IF(H23=0,0,I23/H23)</f>
        <v/>
      </c>
    </row>
    <row r="24">
      <c r="G24">
        <f>D24*F24</f>
        <v/>
      </c>
      <c r="H24">
        <f>D24*E24</f>
        <v/>
      </c>
      <c r="I24">
        <f>H24-G24</f>
        <v/>
      </c>
      <c r="J24">
        <f>IF(H24=0,0,I24/H24)</f>
        <v/>
      </c>
    </row>
    <row r="25">
      <c r="G25">
        <f>D25*F25</f>
        <v/>
      </c>
      <c r="H25">
        <f>D25*E25</f>
        <v/>
      </c>
      <c r="I25">
        <f>H25-G25</f>
        <v/>
      </c>
      <c r="J25">
        <f>IF(H25=0,0,I25/H25)</f>
        <v/>
      </c>
    </row>
    <row r="26">
      <c r="G26">
        <f>D26*F26</f>
        <v/>
      </c>
      <c r="H26">
        <f>D26*E26</f>
        <v/>
      </c>
      <c r="I26">
        <f>H26-G26</f>
        <v/>
      </c>
      <c r="J26">
        <f>IF(H26=0,0,I26/H26)</f>
        <v/>
      </c>
    </row>
    <row r="27">
      <c r="G27">
        <f>D27*F27</f>
        <v/>
      </c>
      <c r="H27">
        <f>D27*E27</f>
        <v/>
      </c>
      <c r="I27">
        <f>H27-G27</f>
        <v/>
      </c>
      <c r="J27">
        <f>IF(H27=0,0,I27/H27)</f>
        <v/>
      </c>
    </row>
    <row r="28">
      <c r="G28">
        <f>D28*F28</f>
        <v/>
      </c>
      <c r="H28">
        <f>D28*E28</f>
        <v/>
      </c>
      <c r="I28">
        <f>H28-G28</f>
        <v/>
      </c>
      <c r="J28">
        <f>IF(H28=0,0,I28/H28)</f>
        <v/>
      </c>
    </row>
    <row r="29">
      <c r="G29">
        <f>D29*F29</f>
        <v/>
      </c>
      <c r="H29">
        <f>D29*E29</f>
        <v/>
      </c>
      <c r="I29">
        <f>H29-G29</f>
        <v/>
      </c>
      <c r="J29">
        <f>IF(H29=0,0,I29/H29)</f>
        <v/>
      </c>
    </row>
    <row r="30">
      <c r="G30">
        <f>D30*F30</f>
        <v/>
      </c>
      <c r="H30">
        <f>D30*E30</f>
        <v/>
      </c>
      <c r="I30">
        <f>H30-G30</f>
        <v/>
      </c>
      <c r="J30">
        <f>IF(H30=0,0,I30/H30)</f>
        <v/>
      </c>
    </row>
    <row r="31">
      <c r="G31">
        <f>D31*F31</f>
        <v/>
      </c>
      <c r="H31">
        <f>D31*E31</f>
        <v/>
      </c>
      <c r="I31">
        <f>H31-G31</f>
        <v/>
      </c>
      <c r="J31">
        <f>IF(H31=0,0,I31/H31)</f>
        <v/>
      </c>
    </row>
    <row r="32">
      <c r="G32">
        <f>D32*F32</f>
        <v/>
      </c>
      <c r="H32">
        <f>D32*E32</f>
        <v/>
      </c>
      <c r="I32">
        <f>H32-G32</f>
        <v/>
      </c>
      <c r="J32">
        <f>IF(H32=0,0,I32/H32)</f>
        <v/>
      </c>
    </row>
    <row r="33">
      <c r="G33">
        <f>D33*F33</f>
        <v/>
      </c>
      <c r="H33">
        <f>D33*E33</f>
        <v/>
      </c>
      <c r="I33">
        <f>H33-G33</f>
        <v/>
      </c>
      <c r="J33">
        <f>IF(H33=0,0,I33/H33)</f>
        <v/>
      </c>
    </row>
    <row r="34">
      <c r="G34">
        <f>D34*F34</f>
        <v/>
      </c>
      <c r="H34">
        <f>D34*E34</f>
        <v/>
      </c>
      <c r="I34">
        <f>H34-G34</f>
        <v/>
      </c>
      <c r="J34">
        <f>IF(H34=0,0,I34/H34)</f>
        <v/>
      </c>
    </row>
    <row r="35">
      <c r="G35">
        <f>D35*F35</f>
        <v/>
      </c>
      <c r="H35">
        <f>D35*E35</f>
        <v/>
      </c>
      <c r="I35">
        <f>H35-G35</f>
        <v/>
      </c>
      <c r="J35">
        <f>IF(H35=0,0,I35/H35)</f>
        <v/>
      </c>
    </row>
    <row r="36">
      <c r="G36">
        <f>D36*F36</f>
        <v/>
      </c>
      <c r="H36">
        <f>D36*E36</f>
        <v/>
      </c>
      <c r="I36">
        <f>H36-G36</f>
        <v/>
      </c>
      <c r="J36">
        <f>IF(H36=0,0,I36/H36)</f>
        <v/>
      </c>
    </row>
    <row r="37">
      <c r="G37">
        <f>D37*F37</f>
        <v/>
      </c>
      <c r="H37">
        <f>D37*E37</f>
        <v/>
      </c>
      <c r="I37">
        <f>H37-G37</f>
        <v/>
      </c>
      <c r="J37">
        <f>IF(H37=0,0,I37/H37)</f>
        <v/>
      </c>
    </row>
    <row r="38">
      <c r="G38">
        <f>D38*F38</f>
        <v/>
      </c>
      <c r="H38">
        <f>D38*E38</f>
        <v/>
      </c>
      <c r="I38">
        <f>H38-G38</f>
        <v/>
      </c>
      <c r="J38">
        <f>IF(H38=0,0,I38/H38)</f>
        <v/>
      </c>
    </row>
    <row r="39">
      <c r="G39">
        <f>D39*F39</f>
        <v/>
      </c>
      <c r="H39">
        <f>D39*E39</f>
        <v/>
      </c>
      <c r="I39">
        <f>H39-G39</f>
        <v/>
      </c>
      <c r="J39">
        <f>IF(H39=0,0,I39/H39)</f>
        <v/>
      </c>
    </row>
    <row r="40">
      <c r="G40">
        <f>D40*F40</f>
        <v/>
      </c>
      <c r="H40">
        <f>D40*E40</f>
        <v/>
      </c>
      <c r="I40">
        <f>H40-G40</f>
        <v/>
      </c>
      <c r="J40">
        <f>IF(H40=0,0,I40/H40)</f>
        <v/>
      </c>
    </row>
    <row r="41">
      <c r="G41">
        <f>D41*F41</f>
        <v/>
      </c>
      <c r="H41">
        <f>D41*E41</f>
        <v/>
      </c>
      <c r="I41">
        <f>H41-G41</f>
        <v/>
      </c>
      <c r="J41">
        <f>IF(H41=0,0,I41/H41)</f>
        <v/>
      </c>
    </row>
    <row r="42">
      <c r="G42">
        <f>D42*F42</f>
        <v/>
      </c>
      <c r="H42">
        <f>D42*E42</f>
        <v/>
      </c>
      <c r="I42">
        <f>H42-G42</f>
        <v/>
      </c>
      <c r="J42">
        <f>IF(H42=0,0,I42/H42)</f>
        <v/>
      </c>
    </row>
    <row r="43">
      <c r="G43">
        <f>D43*F43</f>
        <v/>
      </c>
      <c r="H43">
        <f>D43*E43</f>
        <v/>
      </c>
      <c r="I43">
        <f>H43-G43</f>
        <v/>
      </c>
      <c r="J43">
        <f>IF(H43=0,0,I43/H43)</f>
        <v/>
      </c>
    </row>
    <row r="44">
      <c r="G44">
        <f>D44*F44</f>
        <v/>
      </c>
      <c r="H44">
        <f>D44*E44</f>
        <v/>
      </c>
      <c r="I44">
        <f>H44-G44</f>
        <v/>
      </c>
      <c r="J44">
        <f>IF(H44=0,0,I44/H44)</f>
        <v/>
      </c>
    </row>
    <row r="45">
      <c r="G45">
        <f>D45*F45</f>
        <v/>
      </c>
      <c r="H45">
        <f>D45*E45</f>
        <v/>
      </c>
      <c r="I45">
        <f>H45-G45</f>
        <v/>
      </c>
      <c r="J45">
        <f>IF(H45=0,0,I45/H45)</f>
        <v/>
      </c>
    </row>
    <row r="46">
      <c r="G46">
        <f>D46*F46</f>
        <v/>
      </c>
      <c r="H46">
        <f>D46*E46</f>
        <v/>
      </c>
      <c r="I46">
        <f>H46-G46</f>
        <v/>
      </c>
      <c r="J46">
        <f>IF(H46=0,0,I46/H46)</f>
        <v/>
      </c>
    </row>
    <row r="47">
      <c r="G47">
        <f>D47*F47</f>
        <v/>
      </c>
      <c r="H47">
        <f>D47*E47</f>
        <v/>
      </c>
      <c r="I47">
        <f>H47-G47</f>
        <v/>
      </c>
      <c r="J47">
        <f>IF(H47=0,0,I47/H47)</f>
        <v/>
      </c>
    </row>
    <row r="48">
      <c r="G48">
        <f>D48*F48</f>
        <v/>
      </c>
      <c r="H48">
        <f>D48*E48</f>
        <v/>
      </c>
      <c r="I48">
        <f>H48-G48</f>
        <v/>
      </c>
      <c r="J48">
        <f>IF(H48=0,0,I48/H48)</f>
        <v/>
      </c>
    </row>
    <row r="49">
      <c r="G49">
        <f>D49*F49</f>
        <v/>
      </c>
      <c r="H49">
        <f>D49*E49</f>
        <v/>
      </c>
      <c r="I49">
        <f>H49-G49</f>
        <v/>
      </c>
      <c r="J49">
        <f>IF(H49=0,0,I49/H49)</f>
        <v/>
      </c>
    </row>
  </sheetData>
  <conditionalFormatting sqref="J2:J50">
    <cfRule type="cellIs" priority="1" operator="lessThan" dxfId="0">
      <formula>0.29</formula>
    </cfRule>
    <cfRule type="cellIs" priority="2" operator="greaterThanOrEqual" dxfId="1">
      <formula>0.29</formula>
    </cfRule>
  </conditionalFormatting>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sheetData>
    <row r="1">
      <c r="A1" t="inlineStr">
        <is>
          <t>Categoría</t>
        </is>
      </c>
      <c r="B1" t="inlineStr">
        <is>
          <t>Presupuesto</t>
        </is>
      </c>
      <c r="C1" t="inlineStr">
        <is>
          <t>Gasto Real</t>
        </is>
      </c>
      <c r="D1" t="inlineStr">
        <is>
          <t>Diferencia</t>
        </is>
      </c>
      <c r="E1" t="inlineStr">
        <is>
          <t>Estado</t>
        </is>
      </c>
    </row>
    <row r="2">
      <c r="D2">
        <f>B2-C2</f>
        <v/>
      </c>
      <c r="E2">
        <f>IF(C2&gt;B2,"🔴","🟢")</f>
        <v/>
      </c>
    </row>
    <row r="3">
      <c r="D3">
        <f>B3-C3</f>
        <v/>
      </c>
      <c r="E3">
        <f>IF(C3&gt;B3,"🔴","🟢")</f>
        <v/>
      </c>
    </row>
    <row r="4">
      <c r="D4">
        <f>B4-C4</f>
        <v/>
      </c>
      <c r="E4">
        <f>IF(C4&gt;B4,"🔴","🟢")</f>
        <v/>
      </c>
    </row>
    <row r="5">
      <c r="D5">
        <f>B5-C5</f>
        <v/>
      </c>
      <c r="E5">
        <f>IF(C5&gt;B5,"🔴","🟢")</f>
        <v/>
      </c>
    </row>
    <row r="6">
      <c r="D6">
        <f>B6-C6</f>
        <v/>
      </c>
      <c r="E6">
        <f>IF(C6&gt;B6,"🔴","🟢")</f>
        <v/>
      </c>
    </row>
    <row r="7">
      <c r="D7">
        <f>B7-C7</f>
        <v/>
      </c>
      <c r="E7">
        <f>IF(C7&gt;B7,"🔴","🟢")</f>
        <v/>
      </c>
    </row>
    <row r="8">
      <c r="D8">
        <f>B8-C8</f>
        <v/>
      </c>
      <c r="E8">
        <f>IF(C8&gt;B8,"🔴","🟢")</f>
        <v/>
      </c>
    </row>
    <row r="9">
      <c r="D9">
        <f>B9-C9</f>
        <v/>
      </c>
      <c r="E9">
        <f>IF(C9&gt;B9,"🔴","🟢")</f>
        <v/>
      </c>
    </row>
    <row r="10">
      <c r="D10">
        <f>B10-C10</f>
        <v/>
      </c>
      <c r="E10">
        <f>IF(C10&gt;B10,"🔴","🟢")</f>
        <v/>
      </c>
    </row>
    <row r="11">
      <c r="D11">
        <f>B11-C11</f>
        <v/>
      </c>
      <c r="E11">
        <f>IF(C11&gt;B11,"🔴","🟢")</f>
        <v/>
      </c>
    </row>
    <row r="12">
      <c r="D12">
        <f>B12-C12</f>
        <v/>
      </c>
      <c r="E12">
        <f>IF(C12&gt;B12,"🔴","🟢")</f>
        <v/>
      </c>
    </row>
    <row r="13">
      <c r="D13">
        <f>B13-C13</f>
        <v/>
      </c>
      <c r="E13">
        <f>IF(C13&gt;B13,"🔴","🟢")</f>
        <v/>
      </c>
    </row>
    <row r="14">
      <c r="D14">
        <f>B14-C14</f>
        <v/>
      </c>
      <c r="E14">
        <f>IF(C14&gt;B14,"🔴","🟢")</f>
        <v/>
      </c>
    </row>
    <row r="15">
      <c r="D15">
        <f>B15-C15</f>
        <v/>
      </c>
      <c r="E15">
        <f>IF(C15&gt;B15,"🔴","🟢")</f>
        <v/>
      </c>
    </row>
    <row r="16">
      <c r="D16">
        <f>B16-C16</f>
        <v/>
      </c>
      <c r="E16">
        <f>IF(C16&gt;B16,"🔴","🟢")</f>
        <v/>
      </c>
    </row>
    <row r="17">
      <c r="D17">
        <f>B17-C17</f>
        <v/>
      </c>
      <c r="E17">
        <f>IF(C17&gt;B17,"🔴","🟢")</f>
        <v/>
      </c>
    </row>
    <row r="18">
      <c r="D18">
        <f>B18-C18</f>
        <v/>
      </c>
      <c r="E18">
        <f>IF(C18&gt;B18,"🔴","🟢")</f>
        <v/>
      </c>
    </row>
    <row r="19">
      <c r="D19">
        <f>B19-C19</f>
        <v/>
      </c>
      <c r="E19">
        <f>IF(C19&gt;B19,"🔴","🟢")</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2025-12-25T00:47:57Z</dcterms:created>
  <dcterms:modified xmlns:dcterms="http://purl.org/dc/terms/" xmlns:xsi="http://www.w3.org/2001/XMLSchema-instance" xsi:type="dcterms:W3CDTF">2025-12-25T16:28:11Z</dcterms:modified>
</cp:coreProperties>
</file>